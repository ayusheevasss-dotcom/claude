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M:\PTO\2026\004 Капитальный ремонт Вилюй км1180-км1190 (10 км)\Ежедневная сводка\"/>
    </mc:Choice>
  </mc:AlternateContent>
  <xr:revisionPtr revIDLastSave="0" documentId="13_ncr:1_{36F82049-EAED-40E4-B3DB-626D61D04CFB}" xr6:coauthVersionLast="36" xr6:coauthVersionMax="36" xr10:uidLastSave="{00000000-0000-0000-0000-000000000000}"/>
  <bookViews>
    <workbookView xWindow="0" yWindow="0" windowWidth="22260" windowHeight="12645" activeTab="8" xr2:uid="{00000000-000D-0000-FFFF-FFFF00000000}"/>
  </bookViews>
  <sheets>
    <sheet name="09.09.2026" sheetId="1" r:id="rId1"/>
    <sheet name="10.09.2026" sheetId="2" r:id="rId2"/>
    <sheet name="11.09.2026" sheetId="4" state="hidden" r:id="rId3"/>
    <sheet name="12.09.2026" sheetId="5" state="hidden" r:id="rId4"/>
    <sheet name="13.09.2026" sheetId="3" state="hidden" r:id="rId5"/>
    <sheet name="15.09.2026" sheetId="6" r:id="rId6"/>
    <sheet name="16.09.2026" sheetId="7" r:id="rId7"/>
    <sheet name="21.09.2026" sheetId="8" r:id="rId8"/>
    <sheet name="22.09.2026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9" l="1"/>
  <c r="H11" i="9"/>
  <c r="K10" i="9"/>
  <c r="H10" i="9"/>
  <c r="K9" i="9"/>
  <c r="H9" i="9"/>
  <c r="K8" i="9"/>
  <c r="H8" i="9"/>
  <c r="K14" i="9"/>
  <c r="H14" i="9"/>
  <c r="K13" i="9"/>
  <c r="H13" i="9"/>
  <c r="K101" i="9"/>
  <c r="L101" i="9" s="1"/>
  <c r="H101" i="9"/>
  <c r="K100" i="9"/>
  <c r="H100" i="9"/>
  <c r="K99" i="9"/>
  <c r="H99" i="9"/>
  <c r="K98" i="9"/>
  <c r="H98" i="9"/>
  <c r="K97" i="9"/>
  <c r="H97" i="9"/>
  <c r="K96" i="9"/>
  <c r="K107" i="9" s="1"/>
  <c r="H96" i="9"/>
  <c r="H107" i="9" s="1"/>
  <c r="K92" i="9"/>
  <c r="H92" i="9"/>
  <c r="K91" i="9"/>
  <c r="H91" i="9"/>
  <c r="K90" i="9"/>
  <c r="H90" i="9"/>
  <c r="H93" i="9" s="1"/>
  <c r="K88" i="9"/>
  <c r="H85" i="9"/>
  <c r="L85" i="9" s="1"/>
  <c r="H84" i="9"/>
  <c r="L84" i="9" s="1"/>
  <c r="H83" i="9"/>
  <c r="L83" i="9" s="1"/>
  <c r="H82" i="9"/>
  <c r="L82" i="9" s="1"/>
  <c r="H81" i="9"/>
  <c r="L81" i="9" s="1"/>
  <c r="H80" i="9"/>
  <c r="L80" i="9" s="1"/>
  <c r="H79" i="9"/>
  <c r="L79" i="9" s="1"/>
  <c r="H78" i="9"/>
  <c r="L78" i="9" s="1"/>
  <c r="H77" i="9"/>
  <c r="L77" i="9" s="1"/>
  <c r="H76" i="9"/>
  <c r="L76" i="9" s="1"/>
  <c r="H75" i="9"/>
  <c r="L75" i="9" s="1"/>
  <c r="K72" i="9"/>
  <c r="H72" i="9"/>
  <c r="K71" i="9"/>
  <c r="H71" i="9"/>
  <c r="K70" i="9"/>
  <c r="H70" i="9"/>
  <c r="K69" i="9"/>
  <c r="H69" i="9"/>
  <c r="L69" i="9" s="1"/>
  <c r="K68" i="9"/>
  <c r="H68" i="9"/>
  <c r="L68" i="9" s="1"/>
  <c r="K67" i="9"/>
  <c r="H67" i="9"/>
  <c r="K66" i="9"/>
  <c r="H66" i="9"/>
  <c r="K58" i="9"/>
  <c r="H58" i="9"/>
  <c r="L58" i="9" s="1"/>
  <c r="K57" i="9"/>
  <c r="H57" i="9"/>
  <c r="K56" i="9"/>
  <c r="H56" i="9"/>
  <c r="K48" i="9"/>
  <c r="H48" i="9"/>
  <c r="L48" i="9" s="1"/>
  <c r="K47" i="9"/>
  <c r="H47" i="9"/>
  <c r="K46" i="9"/>
  <c r="H46" i="9"/>
  <c r="K45" i="9"/>
  <c r="H45" i="9"/>
  <c r="K36" i="9"/>
  <c r="H36" i="9"/>
  <c r="H43" i="9" s="1"/>
  <c r="K30" i="9"/>
  <c r="H30" i="9"/>
  <c r="K29" i="9"/>
  <c r="H29" i="9"/>
  <c r="K28" i="9"/>
  <c r="H28" i="9"/>
  <c r="K27" i="9"/>
  <c r="H27" i="9"/>
  <c r="K24" i="9"/>
  <c r="H24" i="9"/>
  <c r="K23" i="9"/>
  <c r="H23" i="9"/>
  <c r="K22" i="9"/>
  <c r="H22" i="9"/>
  <c r="K21" i="9"/>
  <c r="H21" i="9"/>
  <c r="K20" i="9"/>
  <c r="L20" i="9" s="1"/>
  <c r="H20" i="9"/>
  <c r="K19" i="9"/>
  <c r="H19" i="9"/>
  <c r="K18" i="9"/>
  <c r="H18" i="9"/>
  <c r="K15" i="9"/>
  <c r="H15" i="9"/>
  <c r="K12" i="9"/>
  <c r="H12" i="9"/>
  <c r="K7" i="9"/>
  <c r="H7" i="9"/>
  <c r="L28" i="9" l="1"/>
  <c r="H34" i="9"/>
  <c r="L45" i="9"/>
  <c r="L21" i="9"/>
  <c r="L98" i="9"/>
  <c r="L97" i="9"/>
  <c r="L56" i="9"/>
  <c r="L90" i="9"/>
  <c r="L23" i="9"/>
  <c r="L9" i="9"/>
  <c r="K54" i="9"/>
  <c r="L92" i="9"/>
  <c r="L100" i="9"/>
  <c r="L10" i="9"/>
  <c r="L70" i="9"/>
  <c r="L91" i="9"/>
  <c r="L24" i="9"/>
  <c r="L19" i="9"/>
  <c r="L13" i="9"/>
  <c r="L30" i="9"/>
  <c r="L8" i="9"/>
  <c r="L99" i="9"/>
  <c r="H25" i="9"/>
  <c r="L46" i="9"/>
  <c r="L54" i="9" s="1"/>
  <c r="K93" i="9"/>
  <c r="L11" i="9"/>
  <c r="L36" i="9"/>
  <c r="L43" i="9" s="1"/>
  <c r="L27" i="9"/>
  <c r="L14" i="9"/>
  <c r="L12" i="9"/>
  <c r="L7" i="9"/>
  <c r="H16" i="9"/>
  <c r="K16" i="9"/>
  <c r="H88" i="9"/>
  <c r="H64" i="9"/>
  <c r="K64" i="9"/>
  <c r="K73" i="9"/>
  <c r="L47" i="9"/>
  <c r="L66" i="9"/>
  <c r="L72" i="9"/>
  <c r="L71" i="9"/>
  <c r="H73" i="9"/>
  <c r="L67" i="9"/>
  <c r="L22" i="9"/>
  <c r="L18" i="9"/>
  <c r="K34" i="9"/>
  <c r="L88" i="9"/>
  <c r="L29" i="9"/>
  <c r="L57" i="9"/>
  <c r="L64" i="9" s="1"/>
  <c r="K43" i="9"/>
  <c r="L96" i="9"/>
  <c r="L107" i="9" s="1"/>
  <c r="L15" i="9"/>
  <c r="K25" i="9"/>
  <c r="H54" i="9"/>
  <c r="H78" i="8"/>
  <c r="K41" i="8"/>
  <c r="L41" i="8" s="1"/>
  <c r="H41" i="8"/>
  <c r="K40" i="8"/>
  <c r="L40" i="8" s="1"/>
  <c r="H40" i="8"/>
  <c r="K39" i="8"/>
  <c r="K46" i="8" s="1"/>
  <c r="H39" i="8"/>
  <c r="H46" i="8" s="1"/>
  <c r="K16" i="8"/>
  <c r="L16" i="8" s="1"/>
  <c r="H16" i="8"/>
  <c r="K36" i="8"/>
  <c r="L36" i="8" s="1"/>
  <c r="H36" i="8"/>
  <c r="K35" i="8"/>
  <c r="L35" i="8" s="1"/>
  <c r="H35" i="8"/>
  <c r="K34" i="8"/>
  <c r="L34" i="8" s="1"/>
  <c r="H34" i="8"/>
  <c r="K33" i="8"/>
  <c r="L33" i="8" s="1"/>
  <c r="H33" i="8"/>
  <c r="K32" i="8"/>
  <c r="L32" i="8" s="1"/>
  <c r="H32" i="8"/>
  <c r="K31" i="8"/>
  <c r="L31" i="8" s="1"/>
  <c r="H31" i="8"/>
  <c r="K30" i="8"/>
  <c r="H30" i="8"/>
  <c r="H37" i="8" s="1"/>
  <c r="L73" i="9" l="1"/>
  <c r="L93" i="9"/>
  <c r="L25" i="9"/>
  <c r="L16" i="9"/>
  <c r="L34" i="9"/>
  <c r="L39" i="8"/>
  <c r="L46" i="8" s="1"/>
  <c r="K37" i="8"/>
  <c r="L30" i="8"/>
  <c r="L37" i="8" s="1"/>
  <c r="K27" i="8" l="1"/>
  <c r="H27" i="8"/>
  <c r="K26" i="8"/>
  <c r="H26" i="8"/>
  <c r="K25" i="8"/>
  <c r="H25" i="8"/>
  <c r="K24" i="8"/>
  <c r="H24" i="8"/>
  <c r="K104" i="8"/>
  <c r="L104" i="8" s="1"/>
  <c r="H104" i="8"/>
  <c r="K103" i="8"/>
  <c r="H103" i="8"/>
  <c r="K102" i="8"/>
  <c r="H102" i="8"/>
  <c r="K101" i="8"/>
  <c r="H101" i="8"/>
  <c r="K100" i="8"/>
  <c r="H100" i="8"/>
  <c r="K99" i="8"/>
  <c r="H99" i="8"/>
  <c r="H110" i="8" s="1"/>
  <c r="K95" i="8"/>
  <c r="L95" i="8" s="1"/>
  <c r="H95" i="8"/>
  <c r="K94" i="8"/>
  <c r="H94" i="8"/>
  <c r="K93" i="8"/>
  <c r="H93" i="8"/>
  <c r="H96" i="8" s="1"/>
  <c r="K91" i="8"/>
  <c r="H90" i="8"/>
  <c r="L90" i="8" s="1"/>
  <c r="H89" i="8"/>
  <c r="L89" i="8" s="1"/>
  <c r="H88" i="8"/>
  <c r="L88" i="8" s="1"/>
  <c r="H87" i="8"/>
  <c r="L87" i="8" s="1"/>
  <c r="H86" i="8"/>
  <c r="L86" i="8" s="1"/>
  <c r="H85" i="8"/>
  <c r="L85" i="8" s="1"/>
  <c r="H84" i="8"/>
  <c r="L84" i="8" s="1"/>
  <c r="H83" i="8"/>
  <c r="L83" i="8" s="1"/>
  <c r="H82" i="8"/>
  <c r="L82" i="8" s="1"/>
  <c r="H81" i="8"/>
  <c r="L81" i="8" s="1"/>
  <c r="H80" i="8"/>
  <c r="L80" i="8" s="1"/>
  <c r="H79" i="8"/>
  <c r="L79" i="8" s="1"/>
  <c r="L78" i="8"/>
  <c r="K75" i="8"/>
  <c r="L75" i="8" s="1"/>
  <c r="H75" i="8"/>
  <c r="K74" i="8"/>
  <c r="L74" i="8" s="1"/>
  <c r="H74" i="8"/>
  <c r="L73" i="8"/>
  <c r="K73" i="8"/>
  <c r="H73" i="8"/>
  <c r="K72" i="8"/>
  <c r="L72" i="8" s="1"/>
  <c r="H72" i="8"/>
  <c r="K71" i="8"/>
  <c r="L71" i="8" s="1"/>
  <c r="H71" i="8"/>
  <c r="K70" i="8"/>
  <c r="L70" i="8" s="1"/>
  <c r="H70" i="8"/>
  <c r="H76" i="8" s="1"/>
  <c r="L69" i="8"/>
  <c r="K69" i="8"/>
  <c r="H69" i="8"/>
  <c r="K61" i="8"/>
  <c r="H61" i="8"/>
  <c r="K60" i="8"/>
  <c r="H60" i="8"/>
  <c r="K59" i="8"/>
  <c r="H59" i="8"/>
  <c r="K51" i="8"/>
  <c r="L51" i="8" s="1"/>
  <c r="H51" i="8"/>
  <c r="K50" i="8"/>
  <c r="H50" i="8"/>
  <c r="K49" i="8"/>
  <c r="H49" i="8"/>
  <c r="K48" i="8"/>
  <c r="H48" i="8"/>
  <c r="K23" i="8"/>
  <c r="H23" i="8"/>
  <c r="K22" i="8"/>
  <c r="H22" i="8"/>
  <c r="K21" i="8"/>
  <c r="H21" i="8"/>
  <c r="K18" i="8"/>
  <c r="H18" i="8"/>
  <c r="K17" i="8"/>
  <c r="H17" i="8"/>
  <c r="K15" i="8"/>
  <c r="H15" i="8"/>
  <c r="K14" i="8"/>
  <c r="L14" i="8" s="1"/>
  <c r="H14" i="8"/>
  <c r="K13" i="8"/>
  <c r="H13" i="8"/>
  <c r="K12" i="8"/>
  <c r="L12" i="8" s="1"/>
  <c r="H12" i="8"/>
  <c r="K9" i="8"/>
  <c r="L9" i="8" s="1"/>
  <c r="H9" i="8"/>
  <c r="K8" i="8"/>
  <c r="K10" i="8" s="1"/>
  <c r="H8" i="8"/>
  <c r="H10" i="8" s="1"/>
  <c r="L7" i="8"/>
  <c r="K7" i="8"/>
  <c r="H7" i="8"/>
  <c r="K67" i="8" l="1"/>
  <c r="L59" i="8"/>
  <c r="H67" i="8"/>
  <c r="L61" i="8"/>
  <c r="L50" i="8"/>
  <c r="L49" i="8"/>
  <c r="L48" i="8"/>
  <c r="L100" i="8"/>
  <c r="L101" i="8"/>
  <c r="L103" i="8"/>
  <c r="L99" i="8"/>
  <c r="L102" i="8"/>
  <c r="L93" i="8"/>
  <c r="L96" i="8" s="1"/>
  <c r="L94" i="8"/>
  <c r="K96" i="8"/>
  <c r="L17" i="8"/>
  <c r="L18" i="8"/>
  <c r="L15" i="8"/>
  <c r="H19" i="8"/>
  <c r="L27" i="8"/>
  <c r="L26" i="8"/>
  <c r="L25" i="8"/>
  <c r="L24" i="8"/>
  <c r="L22" i="8"/>
  <c r="L21" i="8"/>
  <c r="H28" i="8"/>
  <c r="H57" i="8"/>
  <c r="K28" i="8"/>
  <c r="K19" i="8"/>
  <c r="L76" i="8"/>
  <c r="L91" i="8"/>
  <c r="L67" i="8"/>
  <c r="L57" i="8"/>
  <c r="K57" i="8"/>
  <c r="K76" i="8"/>
  <c r="K110" i="8"/>
  <c r="H91" i="8"/>
  <c r="L8" i="8"/>
  <c r="L10" i="8" s="1"/>
  <c r="L13" i="8"/>
  <c r="L19" i="8" s="1"/>
  <c r="L23" i="8"/>
  <c r="L60" i="8"/>
  <c r="H67" i="7"/>
  <c r="L67" i="7" s="1"/>
  <c r="H66" i="7"/>
  <c r="L66" i="7" s="1"/>
  <c r="H65" i="7"/>
  <c r="L65" i="7" s="1"/>
  <c r="H64" i="7"/>
  <c r="L64" i="7" s="1"/>
  <c r="K22" i="7"/>
  <c r="L22" i="7" s="1"/>
  <c r="H22" i="7"/>
  <c r="K18" i="7"/>
  <c r="K17" i="7"/>
  <c r="H17" i="7"/>
  <c r="K16" i="7"/>
  <c r="H16" i="7"/>
  <c r="K15" i="7"/>
  <c r="H15" i="7"/>
  <c r="H18" i="7" s="1"/>
  <c r="K85" i="7"/>
  <c r="H85" i="7"/>
  <c r="K84" i="7"/>
  <c r="H84" i="7"/>
  <c r="K83" i="7"/>
  <c r="H83" i="7"/>
  <c r="K82" i="7"/>
  <c r="L82" i="7" s="1"/>
  <c r="H82" i="7"/>
  <c r="K81" i="7"/>
  <c r="H81" i="7"/>
  <c r="K80" i="7"/>
  <c r="H80" i="7"/>
  <c r="H91" i="7" s="1"/>
  <c r="K76" i="7"/>
  <c r="H76" i="7"/>
  <c r="K75" i="7"/>
  <c r="H75" i="7"/>
  <c r="H77" i="7" s="1"/>
  <c r="K74" i="7"/>
  <c r="L74" i="7" s="1"/>
  <c r="H74" i="7"/>
  <c r="K72" i="7"/>
  <c r="H71" i="7"/>
  <c r="L71" i="7" s="1"/>
  <c r="H70" i="7"/>
  <c r="L70" i="7" s="1"/>
  <c r="H69" i="7"/>
  <c r="L69" i="7" s="1"/>
  <c r="H68" i="7"/>
  <c r="L68" i="7" s="1"/>
  <c r="H63" i="7"/>
  <c r="L63" i="7" s="1"/>
  <c r="H62" i="7"/>
  <c r="L62" i="7" s="1"/>
  <c r="L61" i="7"/>
  <c r="H61" i="7"/>
  <c r="H60" i="7"/>
  <c r="L60" i="7" s="1"/>
  <c r="H59" i="7"/>
  <c r="L59" i="7" s="1"/>
  <c r="K56" i="7"/>
  <c r="H56" i="7"/>
  <c r="K55" i="7"/>
  <c r="H55" i="7"/>
  <c r="K54" i="7"/>
  <c r="H54" i="7"/>
  <c r="K53" i="7"/>
  <c r="H53" i="7"/>
  <c r="K52" i="7"/>
  <c r="H52" i="7"/>
  <c r="K51" i="7"/>
  <c r="H51" i="7"/>
  <c r="K50" i="7"/>
  <c r="H50" i="7"/>
  <c r="K42" i="7"/>
  <c r="H42" i="7"/>
  <c r="K41" i="7"/>
  <c r="H41" i="7"/>
  <c r="K40" i="7"/>
  <c r="L40" i="7" s="1"/>
  <c r="H40" i="7"/>
  <c r="K32" i="7"/>
  <c r="H32" i="7"/>
  <c r="K31" i="7"/>
  <c r="H31" i="7"/>
  <c r="K30" i="7"/>
  <c r="H30" i="7"/>
  <c r="K29" i="7"/>
  <c r="H29" i="7"/>
  <c r="H38" i="7" s="1"/>
  <c r="K21" i="7"/>
  <c r="H21" i="7"/>
  <c r="H27" i="7" s="1"/>
  <c r="K20" i="7"/>
  <c r="K27" i="7" s="1"/>
  <c r="H20" i="7"/>
  <c r="K14" i="7"/>
  <c r="H14" i="7"/>
  <c r="K13" i="7"/>
  <c r="H13" i="7"/>
  <c r="K12" i="7"/>
  <c r="H12" i="7"/>
  <c r="K9" i="7"/>
  <c r="H9" i="7"/>
  <c r="K8" i="7"/>
  <c r="H8" i="7"/>
  <c r="K7" i="7"/>
  <c r="H7" i="7"/>
  <c r="L110" i="8" l="1"/>
  <c r="L28" i="8"/>
  <c r="L51" i="7"/>
  <c r="L21" i="7"/>
  <c r="L83" i="7"/>
  <c r="L76" i="7"/>
  <c r="L55" i="7"/>
  <c r="L75" i="7"/>
  <c r="L41" i="7"/>
  <c r="H48" i="7"/>
  <c r="L81" i="7"/>
  <c r="L15" i="7"/>
  <c r="L18" i="7" s="1"/>
  <c r="L32" i="7"/>
  <c r="H57" i="7"/>
  <c r="L16" i="7"/>
  <c r="L53" i="7"/>
  <c r="L54" i="7"/>
  <c r="L84" i="7"/>
  <c r="L29" i="7"/>
  <c r="L38" i="7" s="1"/>
  <c r="L85" i="7"/>
  <c r="L30" i="7"/>
  <c r="L50" i="7"/>
  <c r="K91" i="7"/>
  <c r="L56" i="7"/>
  <c r="L31" i="7"/>
  <c r="L20" i="7"/>
  <c r="L17" i="7"/>
  <c r="L13" i="7"/>
  <c r="L8" i="7"/>
  <c r="L7" i="7"/>
  <c r="H10" i="7"/>
  <c r="K10" i="7"/>
  <c r="L77" i="7"/>
  <c r="K77" i="7"/>
  <c r="K57" i="7"/>
  <c r="K48" i="7"/>
  <c r="L12" i="7"/>
  <c r="L72" i="7"/>
  <c r="H72" i="7"/>
  <c r="L9" i="7"/>
  <c r="L14" i="7"/>
  <c r="L42" i="7"/>
  <c r="L48" i="7" s="1"/>
  <c r="L52" i="7"/>
  <c r="K38" i="7"/>
  <c r="L80" i="7"/>
  <c r="K9" i="6"/>
  <c r="H9" i="6"/>
  <c r="K8" i="6"/>
  <c r="H8" i="6"/>
  <c r="K7" i="6"/>
  <c r="K10" i="6" s="1"/>
  <c r="H7" i="6"/>
  <c r="H10" i="6" s="1"/>
  <c r="L91" i="7" l="1"/>
  <c r="L27" i="7"/>
  <c r="L57" i="7"/>
  <c r="L10" i="7"/>
  <c r="L9" i="6"/>
  <c r="L8" i="6"/>
  <c r="L7" i="6"/>
  <c r="L10" i="6" s="1"/>
  <c r="K78" i="6"/>
  <c r="H78" i="6"/>
  <c r="K77" i="6"/>
  <c r="H77" i="6"/>
  <c r="K76" i="6"/>
  <c r="H76" i="6"/>
  <c r="K75" i="6"/>
  <c r="H75" i="6"/>
  <c r="K74" i="6"/>
  <c r="H74" i="6"/>
  <c r="K73" i="6"/>
  <c r="H73" i="6"/>
  <c r="H62" i="6"/>
  <c r="H61" i="6"/>
  <c r="H60" i="6"/>
  <c r="H64" i="6"/>
  <c r="H63" i="6"/>
  <c r="H59" i="6"/>
  <c r="H58" i="6"/>
  <c r="H57" i="6"/>
  <c r="H56" i="6"/>
  <c r="K18" i="6"/>
  <c r="H18" i="6"/>
  <c r="K17" i="6"/>
  <c r="H17" i="6"/>
  <c r="H24" i="6" s="1"/>
  <c r="K69" i="6"/>
  <c r="H69" i="6"/>
  <c r="K68" i="6"/>
  <c r="H68" i="6"/>
  <c r="K67" i="6"/>
  <c r="H67" i="6"/>
  <c r="L73" i="6" l="1"/>
  <c r="L74" i="6"/>
  <c r="L75" i="6"/>
  <c r="L78" i="6"/>
  <c r="L77" i="6"/>
  <c r="L76" i="6"/>
  <c r="L59" i="6"/>
  <c r="L64" i="6"/>
  <c r="L63" i="6"/>
  <c r="H65" i="6"/>
  <c r="K65" i="6"/>
  <c r="L60" i="6"/>
  <c r="L57" i="6"/>
  <c r="L61" i="6"/>
  <c r="L58" i="6"/>
  <c r="L62" i="6"/>
  <c r="L56" i="6"/>
  <c r="L18" i="6"/>
  <c r="L17" i="6"/>
  <c r="K24" i="6"/>
  <c r="H70" i="6"/>
  <c r="K70" i="6"/>
  <c r="L68" i="6"/>
  <c r="L69" i="6"/>
  <c r="L67" i="6"/>
  <c r="K53" i="6"/>
  <c r="H53" i="6"/>
  <c r="K52" i="6"/>
  <c r="H52" i="6"/>
  <c r="K51" i="6"/>
  <c r="H51" i="6"/>
  <c r="K50" i="6"/>
  <c r="H50" i="6"/>
  <c r="K49" i="6"/>
  <c r="H49" i="6"/>
  <c r="K48" i="6"/>
  <c r="H48" i="6"/>
  <c r="K39" i="6"/>
  <c r="H39" i="6"/>
  <c r="K38" i="6"/>
  <c r="H38" i="6"/>
  <c r="K37" i="6"/>
  <c r="H37" i="6"/>
  <c r="L65" i="6" l="1"/>
  <c r="L24" i="6"/>
  <c r="L70" i="6"/>
  <c r="L50" i="6"/>
  <c r="H45" i="6"/>
  <c r="L49" i="6"/>
  <c r="L52" i="6"/>
  <c r="L51" i="6"/>
  <c r="L53" i="6"/>
  <c r="L48" i="6"/>
  <c r="L39" i="6"/>
  <c r="L38" i="6"/>
  <c r="L37" i="6"/>
  <c r="K45" i="6"/>
  <c r="L45" i="6" l="1"/>
  <c r="K66" i="3"/>
  <c r="L66" i="3" s="1"/>
  <c r="H66" i="3"/>
  <c r="K65" i="3"/>
  <c r="L65" i="3" s="1"/>
  <c r="H65" i="3"/>
  <c r="L64" i="3"/>
  <c r="K64" i="3"/>
  <c r="H64" i="3"/>
  <c r="K63" i="3"/>
  <c r="L63" i="3" s="1"/>
  <c r="H63" i="3"/>
  <c r="K62" i="3"/>
  <c r="K70" i="3" s="1"/>
  <c r="H62" i="3"/>
  <c r="H70" i="3" s="1"/>
  <c r="L54" i="3"/>
  <c r="K54" i="3"/>
  <c r="H54" i="3"/>
  <c r="K53" i="3"/>
  <c r="L53" i="3" s="1"/>
  <c r="H53" i="3"/>
  <c r="K52" i="3"/>
  <c r="L52" i="3" s="1"/>
  <c r="H52" i="3"/>
  <c r="K51" i="3"/>
  <c r="L51" i="3" s="1"/>
  <c r="H51" i="3"/>
  <c r="L50" i="3"/>
  <c r="K50" i="3"/>
  <c r="H50" i="3"/>
  <c r="K49" i="3"/>
  <c r="L49" i="3" s="1"/>
  <c r="H49" i="3"/>
  <c r="K48" i="3"/>
  <c r="L48" i="3" s="1"/>
  <c r="H48" i="3"/>
  <c r="K47" i="3"/>
  <c r="L47" i="3" s="1"/>
  <c r="H47" i="3"/>
  <c r="H60" i="3" s="1"/>
  <c r="L46" i="3"/>
  <c r="K46" i="3"/>
  <c r="H46" i="3"/>
  <c r="K43" i="3"/>
  <c r="L43" i="3" s="1"/>
  <c r="H43" i="3"/>
  <c r="K42" i="3"/>
  <c r="L42" i="3" s="1"/>
  <c r="H42" i="3"/>
  <c r="L41" i="3"/>
  <c r="K41" i="3"/>
  <c r="H41" i="3"/>
  <c r="K40" i="3"/>
  <c r="L40" i="3" s="1"/>
  <c r="H40" i="3"/>
  <c r="H44" i="3" s="1"/>
  <c r="L60" i="3" l="1"/>
  <c r="L44" i="3"/>
  <c r="K60" i="3"/>
  <c r="L62" i="3"/>
  <c r="L70" i="3" s="1"/>
  <c r="K44" i="3"/>
  <c r="K47" i="6"/>
  <c r="H47" i="6"/>
  <c r="K29" i="6"/>
  <c r="H29" i="6"/>
  <c r="K28" i="6"/>
  <c r="H28" i="6"/>
  <c r="K27" i="6"/>
  <c r="H27" i="6"/>
  <c r="K26" i="6"/>
  <c r="H26" i="6"/>
  <c r="K14" i="6"/>
  <c r="H14" i="6"/>
  <c r="K13" i="6"/>
  <c r="H13" i="6"/>
  <c r="K12" i="6"/>
  <c r="H12" i="6"/>
  <c r="H84" i="6" l="1"/>
  <c r="H15" i="6"/>
  <c r="L26" i="6"/>
  <c r="L27" i="6"/>
  <c r="K54" i="6"/>
  <c r="L29" i="6"/>
  <c r="L14" i="6"/>
  <c r="L47" i="6"/>
  <c r="L12" i="6"/>
  <c r="L28" i="6"/>
  <c r="L13" i="6"/>
  <c r="H54" i="6"/>
  <c r="H35" i="6"/>
  <c r="K84" i="6"/>
  <c r="K35" i="6"/>
  <c r="K15" i="6"/>
  <c r="L35" i="6" l="1"/>
  <c r="L15" i="6"/>
  <c r="L54" i="6"/>
  <c r="L84" i="6"/>
  <c r="K33" i="5" l="1"/>
  <c r="L33" i="5" s="1"/>
  <c r="H33" i="5"/>
  <c r="K32" i="5"/>
  <c r="L32" i="5" s="1"/>
  <c r="H32" i="5"/>
  <c r="K31" i="5"/>
  <c r="L31" i="5" s="1"/>
  <c r="H31" i="5"/>
  <c r="K30" i="5"/>
  <c r="L30" i="5" s="1"/>
  <c r="H30" i="5"/>
  <c r="K29" i="5"/>
  <c r="K37" i="5" s="1"/>
  <c r="H29" i="5"/>
  <c r="H37" i="5" s="1"/>
  <c r="K21" i="5"/>
  <c r="L21" i="5" s="1"/>
  <c r="H21" i="5"/>
  <c r="K20" i="5"/>
  <c r="L20" i="5" s="1"/>
  <c r="H20" i="5"/>
  <c r="K19" i="5"/>
  <c r="L19" i="5" s="1"/>
  <c r="H19" i="5"/>
  <c r="K18" i="5"/>
  <c r="L18" i="5" s="1"/>
  <c r="H18" i="5"/>
  <c r="K17" i="5"/>
  <c r="L17" i="5" s="1"/>
  <c r="H17" i="5"/>
  <c r="K16" i="5"/>
  <c r="L16" i="5" s="1"/>
  <c r="H16" i="5"/>
  <c r="K15" i="5"/>
  <c r="L15" i="5" s="1"/>
  <c r="H15" i="5"/>
  <c r="K14" i="5"/>
  <c r="L14" i="5" s="1"/>
  <c r="H14" i="5"/>
  <c r="K13" i="5"/>
  <c r="K27" i="5" s="1"/>
  <c r="H13" i="5"/>
  <c r="H27" i="5" s="1"/>
  <c r="K10" i="5"/>
  <c r="L10" i="5" s="1"/>
  <c r="H10" i="5"/>
  <c r="K9" i="5"/>
  <c r="L9" i="5" s="1"/>
  <c r="H9" i="5"/>
  <c r="K8" i="5"/>
  <c r="L8" i="5" s="1"/>
  <c r="H8" i="5"/>
  <c r="K7" i="5"/>
  <c r="L7" i="5" s="1"/>
  <c r="L11" i="5" s="1"/>
  <c r="H7" i="5"/>
  <c r="H11" i="5" s="1"/>
  <c r="L33" i="4"/>
  <c r="K33" i="4"/>
  <c r="H33" i="4"/>
  <c r="K32" i="4"/>
  <c r="L32" i="4" s="1"/>
  <c r="H32" i="4"/>
  <c r="K31" i="4"/>
  <c r="L31" i="4" s="1"/>
  <c r="H31" i="4"/>
  <c r="L30" i="4"/>
  <c r="K30" i="4"/>
  <c r="H30" i="4"/>
  <c r="L29" i="4"/>
  <c r="L37" i="4" s="1"/>
  <c r="K29" i="4"/>
  <c r="K37" i="4" s="1"/>
  <c r="H29" i="4"/>
  <c r="H37" i="4" s="1"/>
  <c r="K21" i="4"/>
  <c r="L21" i="4" s="1"/>
  <c r="H21" i="4"/>
  <c r="L20" i="4"/>
  <c r="K20" i="4"/>
  <c r="H20" i="4"/>
  <c r="L19" i="4"/>
  <c r="K19" i="4"/>
  <c r="H19" i="4"/>
  <c r="K18" i="4"/>
  <c r="L18" i="4" s="1"/>
  <c r="H18" i="4"/>
  <c r="K17" i="4"/>
  <c r="L17" i="4" s="1"/>
  <c r="H17" i="4"/>
  <c r="L16" i="4"/>
  <c r="K16" i="4"/>
  <c r="H16" i="4"/>
  <c r="L15" i="4"/>
  <c r="K15" i="4"/>
  <c r="H15" i="4"/>
  <c r="K14" i="4"/>
  <c r="L14" i="4" s="1"/>
  <c r="H14" i="4"/>
  <c r="K13" i="4"/>
  <c r="K27" i="4" s="1"/>
  <c r="H13" i="4"/>
  <c r="H27" i="4" s="1"/>
  <c r="L10" i="4"/>
  <c r="K10" i="4"/>
  <c r="H10" i="4"/>
  <c r="K9" i="4"/>
  <c r="L9" i="4" s="1"/>
  <c r="H9" i="4"/>
  <c r="K8" i="4"/>
  <c r="L8" i="4" s="1"/>
  <c r="H8" i="4"/>
  <c r="L7" i="4"/>
  <c r="L11" i="4" s="1"/>
  <c r="K7" i="4"/>
  <c r="K11" i="4" s="1"/>
  <c r="H7" i="4"/>
  <c r="H11" i="4" s="1"/>
  <c r="K37" i="3"/>
  <c r="H37" i="3"/>
  <c r="L33" i="3"/>
  <c r="K33" i="3"/>
  <c r="H33" i="3"/>
  <c r="K32" i="3"/>
  <c r="L32" i="3" s="1"/>
  <c r="H32" i="3"/>
  <c r="K31" i="3"/>
  <c r="L31" i="3" s="1"/>
  <c r="H31" i="3"/>
  <c r="K30" i="3"/>
  <c r="L30" i="3" s="1"/>
  <c r="H30" i="3"/>
  <c r="L29" i="3"/>
  <c r="L37" i="3" s="1"/>
  <c r="K29" i="3"/>
  <c r="H29" i="3"/>
  <c r="K21" i="3"/>
  <c r="L21" i="3" s="1"/>
  <c r="H21" i="3"/>
  <c r="K20" i="3"/>
  <c r="L20" i="3" s="1"/>
  <c r="H20" i="3"/>
  <c r="L19" i="3"/>
  <c r="K19" i="3"/>
  <c r="H19" i="3"/>
  <c r="K18" i="3"/>
  <c r="L18" i="3" s="1"/>
  <c r="H18" i="3"/>
  <c r="K17" i="3"/>
  <c r="L17" i="3" s="1"/>
  <c r="H17" i="3"/>
  <c r="K16" i="3"/>
  <c r="L16" i="3" s="1"/>
  <c r="H16" i="3"/>
  <c r="L15" i="3"/>
  <c r="K15" i="3"/>
  <c r="H15" i="3"/>
  <c r="K14" i="3"/>
  <c r="L14" i="3" s="1"/>
  <c r="H14" i="3"/>
  <c r="K13" i="3"/>
  <c r="K27" i="3" s="1"/>
  <c r="H13" i="3"/>
  <c r="H27" i="3" s="1"/>
  <c r="L10" i="3"/>
  <c r="K10" i="3"/>
  <c r="H10" i="3"/>
  <c r="K9" i="3"/>
  <c r="L9" i="3" s="1"/>
  <c r="H9" i="3"/>
  <c r="K8" i="3"/>
  <c r="L8" i="3" s="1"/>
  <c r="H8" i="3"/>
  <c r="K7" i="3"/>
  <c r="L7" i="3" s="1"/>
  <c r="L11" i="3" s="1"/>
  <c r="H7" i="3"/>
  <c r="H11" i="3" s="1"/>
  <c r="L13" i="5" l="1"/>
  <c r="L27" i="5" s="1"/>
  <c r="L29" i="5"/>
  <c r="L37" i="5" s="1"/>
  <c r="K11" i="5"/>
  <c r="L13" i="4"/>
  <c r="L27" i="4" s="1"/>
  <c r="K11" i="3"/>
  <c r="L13" i="3"/>
  <c r="L27" i="3" s="1"/>
  <c r="K37" i="2"/>
  <c r="K33" i="2"/>
  <c r="L33" i="2" s="1"/>
  <c r="H33" i="2"/>
  <c r="K32" i="2"/>
  <c r="L32" i="2" s="1"/>
  <c r="H32" i="2"/>
  <c r="K31" i="2"/>
  <c r="L31" i="2" s="1"/>
  <c r="H31" i="2"/>
  <c r="K30" i="2"/>
  <c r="H30" i="2"/>
  <c r="K29" i="2"/>
  <c r="H29" i="2"/>
  <c r="K21" i="2"/>
  <c r="H21" i="2"/>
  <c r="K20" i="2"/>
  <c r="H20" i="2"/>
  <c r="K19" i="2"/>
  <c r="H19" i="2"/>
  <c r="K18" i="2"/>
  <c r="H18" i="2"/>
  <c r="K17" i="2"/>
  <c r="H17" i="2"/>
  <c r="K16" i="2"/>
  <c r="H16" i="2"/>
  <c r="K15" i="2"/>
  <c r="H15" i="2"/>
  <c r="K14" i="2"/>
  <c r="H14" i="2"/>
  <c r="K13" i="2"/>
  <c r="H13" i="2"/>
  <c r="K10" i="2"/>
  <c r="H10" i="2"/>
  <c r="K9" i="2"/>
  <c r="H9" i="2"/>
  <c r="K8" i="2"/>
  <c r="H8" i="2"/>
  <c r="K7" i="2"/>
  <c r="H7" i="2"/>
  <c r="H37" i="2" l="1"/>
  <c r="L14" i="2"/>
  <c r="L10" i="2"/>
  <c r="L18" i="2"/>
  <c r="H27" i="2"/>
  <c r="K27" i="2"/>
  <c r="L19" i="2"/>
  <c r="L20" i="2"/>
  <c r="L7" i="2"/>
  <c r="L15" i="2"/>
  <c r="L21" i="2"/>
  <c r="H11" i="2"/>
  <c r="L16" i="2"/>
  <c r="L30" i="2"/>
  <c r="L9" i="2"/>
  <c r="L17" i="2"/>
  <c r="K11" i="2"/>
  <c r="L8" i="2"/>
  <c r="L11" i="2" s="1"/>
  <c r="L29" i="2"/>
  <c r="L13" i="2"/>
  <c r="K32" i="1"/>
  <c r="H32" i="1"/>
  <c r="K31" i="1"/>
  <c r="H31" i="1"/>
  <c r="K30" i="1"/>
  <c r="H30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27" i="1"/>
  <c r="H27" i="1"/>
  <c r="K26" i="1"/>
  <c r="H26" i="1"/>
  <c r="K25" i="1"/>
  <c r="H25" i="1"/>
  <c r="K24" i="1"/>
  <c r="H24" i="1"/>
  <c r="K23" i="1"/>
  <c r="H23" i="1"/>
  <c r="K15" i="1"/>
  <c r="H15" i="1"/>
  <c r="K14" i="1"/>
  <c r="H14" i="1"/>
  <c r="H28" i="1" s="1"/>
  <c r="L27" i="2" l="1"/>
  <c r="L37" i="2"/>
  <c r="K35" i="1"/>
  <c r="L32" i="1"/>
  <c r="H35" i="1"/>
  <c r="L31" i="1"/>
  <c r="L30" i="1"/>
  <c r="L35" i="1" s="1"/>
  <c r="L17" i="1"/>
  <c r="L25" i="1"/>
  <c r="L18" i="1"/>
  <c r="L26" i="1"/>
  <c r="L19" i="1"/>
  <c r="L15" i="1"/>
  <c r="L27" i="1"/>
  <c r="L20" i="1"/>
  <c r="L23" i="1"/>
  <c r="L21" i="1"/>
  <c r="L24" i="1"/>
  <c r="L16" i="1"/>
  <c r="L22" i="1"/>
  <c r="K28" i="1"/>
  <c r="L14" i="1"/>
  <c r="K11" i="1"/>
  <c r="H11" i="1"/>
  <c r="K10" i="1"/>
  <c r="H10" i="1"/>
  <c r="K9" i="1"/>
  <c r="H9" i="1"/>
  <c r="K8" i="1"/>
  <c r="H8" i="1"/>
  <c r="K7" i="1"/>
  <c r="H7" i="1"/>
  <c r="L28" i="1" l="1"/>
  <c r="L11" i="1"/>
  <c r="L10" i="1"/>
  <c r="H12" i="1"/>
  <c r="L9" i="1"/>
  <c r="L8" i="1"/>
  <c r="L7" i="1"/>
  <c r="K12" i="1"/>
  <c r="L12" i="1" l="1"/>
</calcChain>
</file>

<file path=xl/sharedStrings.xml><?xml version="1.0" encoding="utf-8"?>
<sst xmlns="http://schemas.openxmlformats.org/spreadsheetml/2006/main" count="1020" uniqueCount="47">
  <si>
    <t>№ 
п/п</t>
  </si>
  <si>
    <t>Перевозчик</t>
  </si>
  <si>
    <t>Марка АТС</t>
  </si>
  <si>
    <t>гос. №</t>
  </si>
  <si>
    <t>Дальность</t>
  </si>
  <si>
    <t>Кол-во 
рейсов план</t>
  </si>
  <si>
    <t>Объем 
(нетто)</t>
  </si>
  <si>
    <t>Объем
(общий) план</t>
  </si>
  <si>
    <t>Кол-во 
рейсов факт</t>
  </si>
  <si>
    <t>Объем
(общий) факт</t>
  </si>
  <si>
    <t>Разница</t>
  </si>
  <si>
    <t>Примечание</t>
  </si>
  <si>
    <t>км</t>
  </si>
  <si>
    <t>ед</t>
  </si>
  <si>
    <t>м3</t>
  </si>
  <si>
    <t>1 смена</t>
  </si>
  <si>
    <t>МУАД</t>
  </si>
  <si>
    <t>Шакман</t>
  </si>
  <si>
    <t>Всего:</t>
  </si>
  <si>
    <t>План</t>
  </si>
  <si>
    <t>Факт</t>
  </si>
  <si>
    <t>Перевозка ЩПС 0/16 с АБЗ до накопителя км1182</t>
  </si>
  <si>
    <t>перевозка 16-32 с АБЗ</t>
  </si>
  <si>
    <t>Перевозка фр. щебня фр. 11-16 с п. Светлый до АБЗ</t>
  </si>
  <si>
    <t>Айхал-центр</t>
  </si>
  <si>
    <t>Sany</t>
  </si>
  <si>
    <t>Перевозка фр. щебня фр. 16-32 с к. Лапчан до АБЗ</t>
  </si>
  <si>
    <t>Перевозка ЩПС 0/63 с к. Лапчан до накопителя км1182</t>
  </si>
  <si>
    <t>Перевозка фр. щебня фр. 11-16 с к. Лапчан до АБЗ</t>
  </si>
  <si>
    <t>Кундел</t>
  </si>
  <si>
    <t>Howo</t>
  </si>
  <si>
    <t>2 смена</t>
  </si>
  <si>
    <t>Арктик-про</t>
  </si>
  <si>
    <t>Faw</t>
  </si>
  <si>
    <t>Перевозка щебня 31-63 с к. Лапчан до накопителя км1182</t>
  </si>
  <si>
    <t>Перевозка фр. щебня фр. 0-4 с п. Светлый до АБЗ</t>
  </si>
  <si>
    <t>Перевозка ЩПС 0/63 с накопителя км1182 на дорогу</t>
  </si>
  <si>
    <t>Перевозка асфальтобетонной смеси с АБЗ до дороги</t>
  </si>
  <si>
    <t>в тоннах</t>
  </si>
  <si>
    <t>Перевозка ЩПС 0/16 с накопителя км1182 до дороги</t>
  </si>
  <si>
    <t>1 рейс с лапчана</t>
  </si>
  <si>
    <t>Перевозка непригодного грунта с дороги на ПК78</t>
  </si>
  <si>
    <t>Перевозка на разные расстояния</t>
  </si>
  <si>
    <t>Перевозка ЩПС 0/16 с АБЗ в дорогу</t>
  </si>
  <si>
    <t>колесо</t>
  </si>
  <si>
    <t>радиатор</t>
  </si>
  <si>
    <t>перевозка на разные расстояния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</si>
</sst>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3" borderId="0" xfId="0" applyNumberFormat="1" applyFont="1" applyFill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zoomScaleNormal="100" workbookViewId="0">
      <pane ySplit="4" topLeftCell="A5" activePane="bottomLeft" state="frozen"/>
      <selection pane="bottomLeft" activeCell="I32" sqref="I32"/>
    </sheetView>
  </sheetViews>
  <sheetFormatPr defaultRowHeight="15" x14ac:dyDescent="0.25"/>
  <cols>
    <col min="1" max="1" width="9.140625" style="6"/>
    <col min="2" max="2" width="11.5703125" style="6" bestFit="1" customWidth="1"/>
    <col min="3" max="3" width="11.7109375" style="6" bestFit="1" customWidth="1"/>
    <col min="4" max="4" width="9.140625" style="6"/>
    <col min="5" max="5" width="10.42578125" style="6" bestFit="1" customWidth="1"/>
    <col min="6" max="12" width="9.140625" style="6"/>
    <col min="13" max="13" width="29" style="6" customWidth="1"/>
    <col min="14" max="16384" width="9.140625" style="6"/>
  </cols>
  <sheetData>
    <row r="1" spans="1:13" x14ac:dyDescent="0.25">
      <c r="M1" s="12">
        <v>46274</v>
      </c>
    </row>
    <row r="2" spans="1:13" x14ac:dyDescent="0.25">
      <c r="A2" s="40" t="s">
        <v>0</v>
      </c>
      <c r="B2" s="41" t="s">
        <v>1</v>
      </c>
      <c r="C2" s="42" t="s">
        <v>2</v>
      </c>
      <c r="D2" s="42" t="s">
        <v>3</v>
      </c>
      <c r="E2" s="41" t="s">
        <v>4</v>
      </c>
      <c r="F2" s="39" t="s">
        <v>19</v>
      </c>
      <c r="G2" s="39"/>
      <c r="H2" s="39"/>
      <c r="I2" s="39" t="s">
        <v>20</v>
      </c>
      <c r="J2" s="39"/>
      <c r="K2" s="39"/>
      <c r="L2" s="40" t="s">
        <v>10</v>
      </c>
      <c r="M2" s="40" t="s">
        <v>11</v>
      </c>
    </row>
    <row r="3" spans="1:13" ht="45" x14ac:dyDescent="0.25">
      <c r="A3" s="40"/>
      <c r="B3" s="41"/>
      <c r="C3" s="42"/>
      <c r="D3" s="42"/>
      <c r="E3" s="41"/>
      <c r="F3" s="2" t="s">
        <v>5</v>
      </c>
      <c r="G3" s="2" t="s">
        <v>6</v>
      </c>
      <c r="H3" s="2" t="s">
        <v>7</v>
      </c>
      <c r="I3" s="2" t="s">
        <v>8</v>
      </c>
      <c r="J3" s="2" t="s">
        <v>6</v>
      </c>
      <c r="K3" s="2" t="s">
        <v>9</v>
      </c>
      <c r="L3" s="40"/>
      <c r="M3" s="40"/>
    </row>
    <row r="4" spans="1:13" x14ac:dyDescent="0.25">
      <c r="A4" s="40"/>
      <c r="B4" s="41"/>
      <c r="C4" s="42"/>
      <c r="D4" s="42"/>
      <c r="E4" s="1" t="s">
        <v>12</v>
      </c>
      <c r="F4" s="2" t="s">
        <v>13</v>
      </c>
      <c r="G4" s="3" t="s">
        <v>14</v>
      </c>
      <c r="H4" s="2" t="s">
        <v>14</v>
      </c>
      <c r="I4" s="2" t="s">
        <v>13</v>
      </c>
      <c r="J4" s="3" t="s">
        <v>14</v>
      </c>
      <c r="K4" s="2" t="s">
        <v>14</v>
      </c>
      <c r="L4" s="2" t="s">
        <v>14</v>
      </c>
      <c r="M4" s="40"/>
    </row>
    <row r="5" spans="1:13" x14ac:dyDescent="0.25">
      <c r="A5" s="43" t="s">
        <v>15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</row>
    <row r="6" spans="1:13" x14ac:dyDescent="0.25">
      <c r="A6" s="38" t="s">
        <v>21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</row>
    <row r="7" spans="1:13" x14ac:dyDescent="0.25">
      <c r="A7" s="1">
        <v>1</v>
      </c>
      <c r="B7" s="1" t="s">
        <v>16</v>
      </c>
      <c r="C7" s="1" t="s">
        <v>17</v>
      </c>
      <c r="D7" s="1">
        <v>438</v>
      </c>
      <c r="E7" s="1">
        <v>32</v>
      </c>
      <c r="F7" s="1">
        <v>4</v>
      </c>
      <c r="G7" s="1">
        <v>12</v>
      </c>
      <c r="H7" s="1">
        <f>+G7*F7</f>
        <v>48</v>
      </c>
      <c r="I7" s="19">
        <v>3</v>
      </c>
      <c r="J7" s="1">
        <v>12</v>
      </c>
      <c r="K7" s="1">
        <f>+J7*I7</f>
        <v>36</v>
      </c>
      <c r="L7" s="1">
        <f>+K7-H7</f>
        <v>-12</v>
      </c>
      <c r="M7" s="4"/>
    </row>
    <row r="8" spans="1:13" x14ac:dyDescent="0.25">
      <c r="A8" s="1">
        <v>2</v>
      </c>
      <c r="B8" s="1" t="s">
        <v>16</v>
      </c>
      <c r="C8" s="1" t="s">
        <v>17</v>
      </c>
      <c r="D8" s="1">
        <v>803</v>
      </c>
      <c r="E8" s="1">
        <v>32</v>
      </c>
      <c r="F8" s="1">
        <v>4</v>
      </c>
      <c r="G8" s="1">
        <v>12</v>
      </c>
      <c r="H8" s="1">
        <f>+G8*F8</f>
        <v>48</v>
      </c>
      <c r="I8" s="10">
        <v>2</v>
      </c>
      <c r="J8" s="1">
        <v>12</v>
      </c>
      <c r="K8" s="1">
        <f>+J8*I8</f>
        <v>24</v>
      </c>
      <c r="L8" s="1">
        <f>+K8-H8</f>
        <v>-24</v>
      </c>
      <c r="M8" s="4"/>
    </row>
    <row r="9" spans="1:13" x14ac:dyDescent="0.25">
      <c r="A9" s="1">
        <v>3</v>
      </c>
      <c r="B9" s="1" t="s">
        <v>16</v>
      </c>
      <c r="C9" s="1" t="s">
        <v>17</v>
      </c>
      <c r="D9" s="1">
        <v>730</v>
      </c>
      <c r="E9" s="1">
        <v>32</v>
      </c>
      <c r="F9" s="1">
        <v>4</v>
      </c>
      <c r="G9" s="1">
        <v>12</v>
      </c>
      <c r="H9" s="1">
        <f>+G9*F9</f>
        <v>48</v>
      </c>
      <c r="I9" s="17">
        <v>4</v>
      </c>
      <c r="J9" s="1">
        <v>12</v>
      </c>
      <c r="K9" s="1">
        <f>+J9*I9</f>
        <v>48</v>
      </c>
      <c r="L9" s="1">
        <f>+K9-H9</f>
        <v>0</v>
      </c>
      <c r="M9" s="4"/>
    </row>
    <row r="10" spans="1:13" x14ac:dyDescent="0.25">
      <c r="A10" s="1">
        <v>4</v>
      </c>
      <c r="B10" s="1" t="s">
        <v>16</v>
      </c>
      <c r="C10" s="1" t="s">
        <v>17</v>
      </c>
      <c r="D10" s="1">
        <v>274</v>
      </c>
      <c r="E10" s="1">
        <v>32</v>
      </c>
      <c r="F10" s="1">
        <v>4</v>
      </c>
      <c r="G10" s="1">
        <v>12</v>
      </c>
      <c r="H10" s="1">
        <f>+G10*F10</f>
        <v>48</v>
      </c>
      <c r="I10" s="17">
        <v>4</v>
      </c>
      <c r="J10" s="1">
        <v>12</v>
      </c>
      <c r="K10" s="1">
        <f>+J10*I10</f>
        <v>48</v>
      </c>
      <c r="L10" s="1">
        <f>+K10-H10</f>
        <v>0</v>
      </c>
      <c r="M10" s="4"/>
    </row>
    <row r="11" spans="1:13" x14ac:dyDescent="0.25">
      <c r="A11" s="1">
        <v>5</v>
      </c>
      <c r="B11" s="1" t="s">
        <v>16</v>
      </c>
      <c r="C11" s="1" t="s">
        <v>17</v>
      </c>
      <c r="D11" s="10">
        <v>506</v>
      </c>
      <c r="E11" s="1">
        <v>32</v>
      </c>
      <c r="F11" s="1">
        <v>4</v>
      </c>
      <c r="G11" s="1">
        <v>12</v>
      </c>
      <c r="H11" s="1">
        <f>+G11*F11</f>
        <v>48</v>
      </c>
      <c r="I11" s="10">
        <v>2</v>
      </c>
      <c r="J11" s="1">
        <v>12</v>
      </c>
      <c r="K11" s="1">
        <f>+J11*I11</f>
        <v>24</v>
      </c>
      <c r="L11" s="1">
        <f>+K11-H11</f>
        <v>-24</v>
      </c>
      <c r="M11" s="4" t="s">
        <v>22</v>
      </c>
    </row>
    <row r="12" spans="1:13" x14ac:dyDescent="0.25">
      <c r="A12" s="5"/>
      <c r="B12" s="5" t="s">
        <v>18</v>
      </c>
      <c r="C12" s="5"/>
      <c r="D12" s="5"/>
      <c r="E12" s="5"/>
      <c r="F12" s="5"/>
      <c r="G12" s="5"/>
      <c r="H12" s="5">
        <f>SUM(H7:H11)</f>
        <v>240</v>
      </c>
      <c r="I12" s="5"/>
      <c r="J12" s="5"/>
      <c r="K12" s="5">
        <f>SUM(K7:K11)</f>
        <v>180</v>
      </c>
      <c r="L12" s="5">
        <f>SUM(L7:L11)</f>
        <v>-60</v>
      </c>
      <c r="M12" s="4"/>
    </row>
    <row r="13" spans="1:13" x14ac:dyDescent="0.25">
      <c r="A13" s="38" t="s">
        <v>26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</row>
    <row r="14" spans="1:13" x14ac:dyDescent="0.25">
      <c r="A14" s="1">
        <v>1</v>
      </c>
      <c r="B14" s="1" t="s">
        <v>16</v>
      </c>
      <c r="C14" s="1" t="s">
        <v>17</v>
      </c>
      <c r="D14" s="1">
        <v>976</v>
      </c>
      <c r="E14" s="1">
        <v>40</v>
      </c>
      <c r="F14" s="1">
        <v>3</v>
      </c>
      <c r="G14" s="1">
        <v>12</v>
      </c>
      <c r="H14" s="1">
        <f t="shared" ref="H14:H27" si="0">+G14*F14</f>
        <v>36</v>
      </c>
      <c r="I14" s="18">
        <v>2</v>
      </c>
      <c r="J14" s="1">
        <v>12</v>
      </c>
      <c r="K14" s="1">
        <f t="shared" ref="K14:K27" si="1">+J14*I14</f>
        <v>24</v>
      </c>
      <c r="L14" s="1">
        <f t="shared" ref="L14:L27" si="2">+K14-H14</f>
        <v>-12</v>
      </c>
      <c r="M14" s="4"/>
    </row>
    <row r="15" spans="1:13" x14ac:dyDescent="0.25">
      <c r="A15" s="1">
        <v>2</v>
      </c>
      <c r="B15" s="1" t="s">
        <v>16</v>
      </c>
      <c r="C15" s="1" t="s">
        <v>17</v>
      </c>
      <c r="D15" s="1">
        <v>476</v>
      </c>
      <c r="E15" s="1">
        <v>40</v>
      </c>
      <c r="F15" s="1">
        <v>3</v>
      </c>
      <c r="G15" s="1">
        <v>12</v>
      </c>
      <c r="H15" s="1">
        <f t="shared" si="0"/>
        <v>36</v>
      </c>
      <c r="I15" s="17">
        <v>3</v>
      </c>
      <c r="J15" s="1">
        <v>12</v>
      </c>
      <c r="K15" s="1">
        <f t="shared" si="1"/>
        <v>36</v>
      </c>
      <c r="L15" s="1">
        <f t="shared" si="2"/>
        <v>0</v>
      </c>
      <c r="M15" s="4"/>
    </row>
    <row r="16" spans="1:13" x14ac:dyDescent="0.25">
      <c r="A16" s="1">
        <v>3</v>
      </c>
      <c r="B16" s="1" t="s">
        <v>16</v>
      </c>
      <c r="C16" s="1" t="s">
        <v>17</v>
      </c>
      <c r="D16" s="1">
        <v>675</v>
      </c>
      <c r="E16" s="1">
        <v>40</v>
      </c>
      <c r="F16" s="1">
        <v>3</v>
      </c>
      <c r="G16" s="1">
        <v>12</v>
      </c>
      <c r="H16" s="1">
        <f t="shared" si="0"/>
        <v>36</v>
      </c>
      <c r="I16" s="17">
        <v>3</v>
      </c>
      <c r="J16" s="1">
        <v>12</v>
      </c>
      <c r="K16" s="1">
        <f t="shared" si="1"/>
        <v>36</v>
      </c>
      <c r="L16" s="1">
        <f t="shared" si="2"/>
        <v>0</v>
      </c>
      <c r="M16" s="4"/>
    </row>
    <row r="17" spans="1:13" x14ac:dyDescent="0.25">
      <c r="A17" s="1">
        <v>4</v>
      </c>
      <c r="B17" s="1" t="s">
        <v>16</v>
      </c>
      <c r="C17" s="1" t="s">
        <v>17</v>
      </c>
      <c r="D17" s="1">
        <v>424</v>
      </c>
      <c r="E17" s="1">
        <v>40</v>
      </c>
      <c r="F17" s="1">
        <v>3</v>
      </c>
      <c r="G17" s="1">
        <v>12</v>
      </c>
      <c r="H17" s="1">
        <f t="shared" si="0"/>
        <v>36</v>
      </c>
      <c r="I17" s="18">
        <v>2</v>
      </c>
      <c r="J17" s="1">
        <v>12</v>
      </c>
      <c r="K17" s="1">
        <f t="shared" si="1"/>
        <v>24</v>
      </c>
      <c r="L17" s="1">
        <f t="shared" si="2"/>
        <v>-12</v>
      </c>
      <c r="M17" s="4"/>
    </row>
    <row r="18" spans="1:13" x14ac:dyDescent="0.25">
      <c r="A18" s="1">
        <v>5</v>
      </c>
      <c r="B18" s="1" t="s">
        <v>16</v>
      </c>
      <c r="C18" s="1" t="s">
        <v>17</v>
      </c>
      <c r="D18" s="10">
        <v>506</v>
      </c>
      <c r="E18" s="1">
        <v>40</v>
      </c>
      <c r="F18" s="1">
        <v>3</v>
      </c>
      <c r="G18" s="1">
        <v>12</v>
      </c>
      <c r="H18" s="1">
        <f t="shared" si="0"/>
        <v>36</v>
      </c>
      <c r="I18" s="18">
        <v>2</v>
      </c>
      <c r="J18" s="1">
        <v>12</v>
      </c>
      <c r="K18" s="1">
        <f t="shared" si="1"/>
        <v>24</v>
      </c>
      <c r="L18" s="1">
        <f t="shared" si="2"/>
        <v>-12</v>
      </c>
      <c r="M18" s="4"/>
    </row>
    <row r="19" spans="1:13" x14ac:dyDescent="0.25">
      <c r="A19" s="1">
        <v>6</v>
      </c>
      <c r="B19" s="1" t="s">
        <v>16</v>
      </c>
      <c r="C19" s="1" t="s">
        <v>17</v>
      </c>
      <c r="D19" s="1">
        <v>713</v>
      </c>
      <c r="E19" s="1">
        <v>40</v>
      </c>
      <c r="F19" s="1">
        <v>3</v>
      </c>
      <c r="G19" s="1">
        <v>12</v>
      </c>
      <c r="H19" s="1">
        <f t="shared" si="0"/>
        <v>36</v>
      </c>
      <c r="I19" s="18">
        <v>2</v>
      </c>
      <c r="J19" s="1">
        <v>12</v>
      </c>
      <c r="K19" s="1">
        <f t="shared" si="1"/>
        <v>24</v>
      </c>
      <c r="L19" s="1">
        <f t="shared" si="2"/>
        <v>-12</v>
      </c>
      <c r="M19" s="4"/>
    </row>
    <row r="20" spans="1:13" x14ac:dyDescent="0.25">
      <c r="A20" s="1">
        <v>7</v>
      </c>
      <c r="B20" s="1" t="s">
        <v>16</v>
      </c>
      <c r="C20" s="1" t="s">
        <v>17</v>
      </c>
      <c r="D20" s="1">
        <v>708</v>
      </c>
      <c r="E20" s="1">
        <v>40</v>
      </c>
      <c r="F20" s="1">
        <v>3</v>
      </c>
      <c r="G20" s="1">
        <v>12</v>
      </c>
      <c r="H20" s="1">
        <f t="shared" si="0"/>
        <v>36</v>
      </c>
      <c r="I20" s="17">
        <v>3</v>
      </c>
      <c r="J20" s="1">
        <v>12</v>
      </c>
      <c r="K20" s="1">
        <f t="shared" si="1"/>
        <v>36</v>
      </c>
      <c r="L20" s="1">
        <f t="shared" si="2"/>
        <v>0</v>
      </c>
      <c r="M20" s="4"/>
    </row>
    <row r="21" spans="1:13" x14ac:dyDescent="0.25">
      <c r="A21" s="1">
        <v>8</v>
      </c>
      <c r="B21" s="1" t="s">
        <v>16</v>
      </c>
      <c r="C21" s="1" t="s">
        <v>17</v>
      </c>
      <c r="D21" s="10">
        <v>328</v>
      </c>
      <c r="E21" s="1">
        <v>40</v>
      </c>
      <c r="F21" s="1">
        <v>3</v>
      </c>
      <c r="G21" s="1">
        <v>12</v>
      </c>
      <c r="H21" s="1">
        <f t="shared" si="0"/>
        <v>36</v>
      </c>
      <c r="I21" s="10">
        <v>1</v>
      </c>
      <c r="J21" s="1">
        <v>12</v>
      </c>
      <c r="K21" s="1">
        <f t="shared" si="1"/>
        <v>12</v>
      </c>
      <c r="L21" s="1">
        <f t="shared" si="2"/>
        <v>-24</v>
      </c>
      <c r="M21" s="4"/>
    </row>
    <row r="22" spans="1:13" x14ac:dyDescent="0.25">
      <c r="A22" s="1">
        <v>9</v>
      </c>
      <c r="B22" s="1" t="s">
        <v>16</v>
      </c>
      <c r="C22" s="1" t="s">
        <v>17</v>
      </c>
      <c r="D22" s="1">
        <v>365</v>
      </c>
      <c r="E22" s="1">
        <v>40</v>
      </c>
      <c r="F22" s="1">
        <v>3</v>
      </c>
      <c r="G22" s="1">
        <v>12</v>
      </c>
      <c r="H22" s="1">
        <f t="shared" si="0"/>
        <v>36</v>
      </c>
      <c r="I22" s="17">
        <v>3</v>
      </c>
      <c r="J22" s="1">
        <v>12</v>
      </c>
      <c r="K22" s="1">
        <f t="shared" si="1"/>
        <v>36</v>
      </c>
      <c r="L22" s="1">
        <f t="shared" si="2"/>
        <v>0</v>
      </c>
      <c r="M22" s="4"/>
    </row>
    <row r="23" spans="1:13" x14ac:dyDescent="0.25">
      <c r="A23" s="1">
        <v>10</v>
      </c>
      <c r="B23" s="1" t="s">
        <v>16</v>
      </c>
      <c r="C23" s="1" t="s">
        <v>17</v>
      </c>
      <c r="D23" s="1">
        <v>515</v>
      </c>
      <c r="E23" s="1">
        <v>40</v>
      </c>
      <c r="F23" s="1">
        <v>3</v>
      </c>
      <c r="G23" s="1">
        <v>12</v>
      </c>
      <c r="H23" s="1">
        <f t="shared" si="0"/>
        <v>36</v>
      </c>
      <c r="I23" s="17">
        <v>3</v>
      </c>
      <c r="J23" s="1">
        <v>12</v>
      </c>
      <c r="K23" s="1">
        <f t="shared" si="1"/>
        <v>36</v>
      </c>
      <c r="L23" s="1">
        <f t="shared" si="2"/>
        <v>0</v>
      </c>
      <c r="M23" s="4"/>
    </row>
    <row r="24" spans="1:13" x14ac:dyDescent="0.25">
      <c r="A24" s="1">
        <v>11</v>
      </c>
      <c r="B24" s="1" t="s">
        <v>16</v>
      </c>
      <c r="C24" s="1" t="s">
        <v>17</v>
      </c>
      <c r="D24" s="10">
        <v>445</v>
      </c>
      <c r="E24" s="1">
        <v>40</v>
      </c>
      <c r="F24" s="1">
        <v>3</v>
      </c>
      <c r="G24" s="1">
        <v>12</v>
      </c>
      <c r="H24" s="1">
        <f t="shared" si="0"/>
        <v>36</v>
      </c>
      <c r="I24" s="10">
        <v>1</v>
      </c>
      <c r="J24" s="1">
        <v>12</v>
      </c>
      <c r="K24" s="1">
        <f t="shared" si="1"/>
        <v>12</v>
      </c>
      <c r="L24" s="1">
        <f t="shared" si="2"/>
        <v>-24</v>
      </c>
      <c r="M24" s="4"/>
    </row>
    <row r="25" spans="1:13" x14ac:dyDescent="0.25">
      <c r="A25" s="1">
        <v>12</v>
      </c>
      <c r="B25" s="1" t="s">
        <v>16</v>
      </c>
      <c r="C25" s="1" t="s">
        <v>17</v>
      </c>
      <c r="D25" s="10">
        <v>525</v>
      </c>
      <c r="E25" s="1">
        <v>40</v>
      </c>
      <c r="F25" s="1">
        <v>3</v>
      </c>
      <c r="G25" s="1">
        <v>12</v>
      </c>
      <c r="H25" s="1">
        <f t="shared" si="0"/>
        <v>36</v>
      </c>
      <c r="I25" s="10">
        <v>1</v>
      </c>
      <c r="J25" s="1">
        <v>12</v>
      </c>
      <c r="K25" s="1">
        <f t="shared" si="1"/>
        <v>12</v>
      </c>
      <c r="L25" s="1">
        <f t="shared" si="2"/>
        <v>-24</v>
      </c>
      <c r="M25" s="4"/>
    </row>
    <row r="26" spans="1:13" x14ac:dyDescent="0.25">
      <c r="A26" s="1">
        <v>13</v>
      </c>
      <c r="B26" s="1" t="s">
        <v>16</v>
      </c>
      <c r="C26" s="1" t="s">
        <v>17</v>
      </c>
      <c r="D26" s="10">
        <v>368</v>
      </c>
      <c r="E26" s="1">
        <v>40</v>
      </c>
      <c r="F26" s="1">
        <v>3</v>
      </c>
      <c r="G26" s="1">
        <v>12</v>
      </c>
      <c r="H26" s="1">
        <f t="shared" si="0"/>
        <v>36</v>
      </c>
      <c r="I26" s="10">
        <v>1</v>
      </c>
      <c r="J26" s="1">
        <v>12</v>
      </c>
      <c r="K26" s="1">
        <f t="shared" si="1"/>
        <v>12</v>
      </c>
      <c r="L26" s="1">
        <f t="shared" si="2"/>
        <v>-24</v>
      </c>
      <c r="M26" s="4"/>
    </row>
    <row r="27" spans="1:13" x14ac:dyDescent="0.25">
      <c r="A27" s="1">
        <v>14</v>
      </c>
      <c r="B27" s="1" t="s">
        <v>16</v>
      </c>
      <c r="C27" s="1" t="s">
        <v>17</v>
      </c>
      <c r="D27" s="10">
        <v>681</v>
      </c>
      <c r="E27" s="1">
        <v>40</v>
      </c>
      <c r="F27" s="1">
        <v>3</v>
      </c>
      <c r="G27" s="1">
        <v>12</v>
      </c>
      <c r="H27" s="1">
        <f t="shared" si="0"/>
        <v>36</v>
      </c>
      <c r="I27" s="10">
        <v>1</v>
      </c>
      <c r="J27" s="1">
        <v>12</v>
      </c>
      <c r="K27" s="1">
        <f t="shared" si="1"/>
        <v>12</v>
      </c>
      <c r="L27" s="1">
        <f t="shared" si="2"/>
        <v>-24</v>
      </c>
      <c r="M27" s="4"/>
    </row>
    <row r="28" spans="1:13" x14ac:dyDescent="0.25">
      <c r="A28" s="5"/>
      <c r="B28" s="5" t="s">
        <v>18</v>
      </c>
      <c r="C28" s="5"/>
      <c r="D28" s="5"/>
      <c r="E28" s="5"/>
      <c r="F28" s="5"/>
      <c r="G28" s="5"/>
      <c r="H28" s="5">
        <f>SUM(H14:H27)</f>
        <v>504</v>
      </c>
      <c r="I28" s="5"/>
      <c r="J28" s="5"/>
      <c r="K28" s="5">
        <f>SUM(K14:K27)</f>
        <v>336</v>
      </c>
      <c r="L28" s="5">
        <f>SUM(L14:L27)</f>
        <v>-168</v>
      </c>
      <c r="M28" s="4"/>
    </row>
    <row r="29" spans="1:13" x14ac:dyDescent="0.25">
      <c r="A29" s="38" t="s">
        <v>23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</row>
    <row r="30" spans="1:13" x14ac:dyDescent="0.25">
      <c r="A30" s="1">
        <v>1</v>
      </c>
      <c r="B30" s="1" t="s">
        <v>24</v>
      </c>
      <c r="C30" s="1" t="s">
        <v>25</v>
      </c>
      <c r="D30" s="1">
        <v>235</v>
      </c>
      <c r="E30" s="1">
        <v>82</v>
      </c>
      <c r="F30" s="1">
        <v>2</v>
      </c>
      <c r="G30" s="1">
        <v>12</v>
      </c>
      <c r="H30" s="1">
        <f>+G30*F30</f>
        <v>24</v>
      </c>
      <c r="I30" s="1">
        <v>2</v>
      </c>
      <c r="J30" s="1">
        <v>12</v>
      </c>
      <c r="K30" s="1">
        <f>+J30*I30</f>
        <v>24</v>
      </c>
      <c r="L30" s="1">
        <f>+K30-H30</f>
        <v>0</v>
      </c>
      <c r="M30" s="4"/>
    </row>
    <row r="31" spans="1:13" x14ac:dyDescent="0.25">
      <c r="A31" s="1">
        <v>2</v>
      </c>
      <c r="B31" s="1" t="s">
        <v>24</v>
      </c>
      <c r="C31" s="1" t="s">
        <v>25</v>
      </c>
      <c r="D31" s="1">
        <v>317</v>
      </c>
      <c r="E31" s="1">
        <v>82</v>
      </c>
      <c r="F31" s="1">
        <v>2</v>
      </c>
      <c r="G31" s="1">
        <v>12</v>
      </c>
      <c r="H31" s="1">
        <f>+G31*F31</f>
        <v>24</v>
      </c>
      <c r="I31" s="1">
        <v>2</v>
      </c>
      <c r="J31" s="1">
        <v>12</v>
      </c>
      <c r="K31" s="1">
        <f>+J31*I31</f>
        <v>24</v>
      </c>
      <c r="L31" s="1">
        <f>+K31-H31</f>
        <v>0</v>
      </c>
      <c r="M31" s="4"/>
    </row>
    <row r="32" spans="1:13" x14ac:dyDescent="0.25">
      <c r="A32" s="1">
        <v>3</v>
      </c>
      <c r="B32" s="1" t="s">
        <v>24</v>
      </c>
      <c r="C32" s="1" t="s">
        <v>25</v>
      </c>
      <c r="D32" s="10">
        <v>354</v>
      </c>
      <c r="E32" s="1">
        <v>82</v>
      </c>
      <c r="F32" s="1">
        <v>2</v>
      </c>
      <c r="G32" s="1">
        <v>12</v>
      </c>
      <c r="H32" s="1">
        <f>+G32*F32</f>
        <v>24</v>
      </c>
      <c r="I32" s="10">
        <v>1</v>
      </c>
      <c r="J32" s="1">
        <v>12</v>
      </c>
      <c r="K32" s="1">
        <f>+J32*I32</f>
        <v>12</v>
      </c>
      <c r="L32" s="1">
        <f>+K32-H32</f>
        <v>-12</v>
      </c>
      <c r="M32" s="4"/>
    </row>
    <row r="33" spans="1:13" hidden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4"/>
    </row>
    <row r="34" spans="1:13" hidden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4"/>
    </row>
    <row r="35" spans="1:13" x14ac:dyDescent="0.25">
      <c r="A35" s="5"/>
      <c r="B35" s="5" t="s">
        <v>18</v>
      </c>
      <c r="C35" s="5"/>
      <c r="D35" s="5"/>
      <c r="E35" s="5"/>
      <c r="F35" s="5"/>
      <c r="G35" s="5"/>
      <c r="H35" s="5">
        <f>SUM(H30:H34)</f>
        <v>72</v>
      </c>
      <c r="I35" s="5"/>
      <c r="J35" s="5"/>
      <c r="K35" s="5">
        <f>SUM(K30:K34)</f>
        <v>60</v>
      </c>
      <c r="L35" s="5">
        <f>SUM(L30:L34)</f>
        <v>-12</v>
      </c>
      <c r="M35" s="4"/>
    </row>
  </sheetData>
  <mergeCells count="13">
    <mergeCell ref="A13:M13"/>
    <mergeCell ref="A29:M29"/>
    <mergeCell ref="A6:M6"/>
    <mergeCell ref="F2:H2"/>
    <mergeCell ref="I2:K2"/>
    <mergeCell ref="L2:L3"/>
    <mergeCell ref="M2:M4"/>
    <mergeCell ref="E2:E3"/>
    <mergeCell ref="D2:D4"/>
    <mergeCell ref="C2:C4"/>
    <mergeCell ref="B2:B4"/>
    <mergeCell ref="A2:A4"/>
    <mergeCell ref="A5:M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74B7-1DF0-4F2C-9CFD-45312A74B982}">
  <dimension ref="A1:M37"/>
  <sheetViews>
    <sheetView zoomScaleNormal="100" workbookViewId="0">
      <pane ySplit="4" topLeftCell="A5" activePane="bottomLeft" state="frozen"/>
      <selection pane="bottomLeft" activeCell="K9" sqref="K9"/>
    </sheetView>
  </sheetViews>
  <sheetFormatPr defaultRowHeight="15" x14ac:dyDescent="0.25"/>
  <cols>
    <col min="1" max="1" width="9.140625" style="6"/>
    <col min="2" max="2" width="11.5703125" style="6" bestFit="1" customWidth="1"/>
    <col min="3" max="3" width="11.7109375" style="6" bestFit="1" customWidth="1"/>
    <col min="4" max="4" width="9.140625" style="6"/>
    <col min="5" max="5" width="10.42578125" style="6" bestFit="1" customWidth="1"/>
    <col min="6" max="12" width="9.140625" style="6"/>
    <col min="13" max="13" width="29" style="6" customWidth="1"/>
    <col min="14" max="16384" width="9.140625" style="6"/>
  </cols>
  <sheetData>
    <row r="1" spans="1:13" x14ac:dyDescent="0.25">
      <c r="M1" s="12">
        <v>46275</v>
      </c>
    </row>
    <row r="2" spans="1:13" x14ac:dyDescent="0.25">
      <c r="A2" s="40" t="s">
        <v>0</v>
      </c>
      <c r="B2" s="41" t="s">
        <v>1</v>
      </c>
      <c r="C2" s="42" t="s">
        <v>2</v>
      </c>
      <c r="D2" s="42" t="s">
        <v>3</v>
      </c>
      <c r="E2" s="41" t="s">
        <v>4</v>
      </c>
      <c r="F2" s="39" t="s">
        <v>19</v>
      </c>
      <c r="G2" s="39"/>
      <c r="H2" s="39"/>
      <c r="I2" s="39" t="s">
        <v>20</v>
      </c>
      <c r="J2" s="39"/>
      <c r="K2" s="39"/>
      <c r="L2" s="40" t="s">
        <v>10</v>
      </c>
      <c r="M2" s="40" t="s">
        <v>11</v>
      </c>
    </row>
    <row r="3" spans="1:13" ht="45" x14ac:dyDescent="0.25">
      <c r="A3" s="40"/>
      <c r="B3" s="41"/>
      <c r="C3" s="42"/>
      <c r="D3" s="42"/>
      <c r="E3" s="41"/>
      <c r="F3" s="8" t="s">
        <v>5</v>
      </c>
      <c r="G3" s="8" t="s">
        <v>6</v>
      </c>
      <c r="H3" s="8" t="s">
        <v>7</v>
      </c>
      <c r="I3" s="8" t="s">
        <v>8</v>
      </c>
      <c r="J3" s="8" t="s">
        <v>6</v>
      </c>
      <c r="K3" s="8" t="s">
        <v>9</v>
      </c>
      <c r="L3" s="40"/>
      <c r="M3" s="40"/>
    </row>
    <row r="4" spans="1:13" x14ac:dyDescent="0.25">
      <c r="A4" s="40"/>
      <c r="B4" s="41"/>
      <c r="C4" s="42"/>
      <c r="D4" s="42"/>
      <c r="E4" s="7" t="s">
        <v>12</v>
      </c>
      <c r="F4" s="8" t="s">
        <v>13</v>
      </c>
      <c r="G4" s="3" t="s">
        <v>14</v>
      </c>
      <c r="H4" s="8" t="s">
        <v>14</v>
      </c>
      <c r="I4" s="8" t="s">
        <v>13</v>
      </c>
      <c r="J4" s="3" t="s">
        <v>14</v>
      </c>
      <c r="K4" s="8" t="s">
        <v>14</v>
      </c>
      <c r="L4" s="8" t="s">
        <v>14</v>
      </c>
      <c r="M4" s="40"/>
    </row>
    <row r="5" spans="1:13" x14ac:dyDescent="0.25">
      <c r="A5" s="43" t="s">
        <v>15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</row>
    <row r="6" spans="1:13" x14ac:dyDescent="0.25">
      <c r="A6" s="38" t="s">
        <v>21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</row>
    <row r="7" spans="1:13" x14ac:dyDescent="0.25">
      <c r="A7" s="7">
        <v>1</v>
      </c>
      <c r="B7" s="7" t="s">
        <v>16</v>
      </c>
      <c r="C7" s="7" t="s">
        <v>17</v>
      </c>
      <c r="D7" s="19">
        <v>976</v>
      </c>
      <c r="E7" s="7">
        <v>32</v>
      </c>
      <c r="F7" s="7">
        <v>4</v>
      </c>
      <c r="G7" s="7">
        <v>12</v>
      </c>
      <c r="H7" s="7">
        <f>+G7*F7</f>
        <v>48</v>
      </c>
      <c r="I7" s="19">
        <v>3</v>
      </c>
      <c r="J7" s="7">
        <v>12</v>
      </c>
      <c r="K7" s="7">
        <f>+J7*I7</f>
        <v>36</v>
      </c>
      <c r="L7" s="7">
        <f>+K7-H7</f>
        <v>-12</v>
      </c>
      <c r="M7" s="4"/>
    </row>
    <row r="8" spans="1:13" x14ac:dyDescent="0.25">
      <c r="A8" s="7">
        <v>2</v>
      </c>
      <c r="B8" s="7" t="s">
        <v>16</v>
      </c>
      <c r="C8" s="7" t="s">
        <v>17</v>
      </c>
      <c r="D8" s="10">
        <v>274</v>
      </c>
      <c r="E8" s="7">
        <v>32</v>
      </c>
      <c r="F8" s="7">
        <v>4</v>
      </c>
      <c r="G8" s="7">
        <v>12</v>
      </c>
      <c r="H8" s="7">
        <f>+G8*F8</f>
        <v>48</v>
      </c>
      <c r="I8" s="10">
        <v>2</v>
      </c>
      <c r="J8" s="7">
        <v>12</v>
      </c>
      <c r="K8" s="7">
        <f>+J8*I8</f>
        <v>24</v>
      </c>
      <c r="L8" s="7">
        <f>+K8-H8</f>
        <v>-24</v>
      </c>
      <c r="M8" s="4"/>
    </row>
    <row r="9" spans="1:13" x14ac:dyDescent="0.25">
      <c r="A9" s="7">
        <v>3</v>
      </c>
      <c r="B9" s="7" t="s">
        <v>16</v>
      </c>
      <c r="C9" s="7" t="s">
        <v>17</v>
      </c>
      <c r="D9" s="7">
        <v>428</v>
      </c>
      <c r="E9" s="7">
        <v>32</v>
      </c>
      <c r="F9" s="7">
        <v>4</v>
      </c>
      <c r="G9" s="7">
        <v>12</v>
      </c>
      <c r="H9" s="7">
        <f>+G9*F9</f>
        <v>48</v>
      </c>
      <c r="I9" s="7">
        <v>4</v>
      </c>
      <c r="J9" s="7">
        <v>12</v>
      </c>
      <c r="K9" s="7">
        <f>+J9*I9</f>
        <v>48</v>
      </c>
      <c r="L9" s="7">
        <f>+K9-H9</f>
        <v>0</v>
      </c>
      <c r="M9" s="4"/>
    </row>
    <row r="10" spans="1:13" x14ac:dyDescent="0.25">
      <c r="A10" s="7">
        <v>4</v>
      </c>
      <c r="B10" s="7" t="s">
        <v>16</v>
      </c>
      <c r="C10" s="7" t="s">
        <v>17</v>
      </c>
      <c r="D10" s="10">
        <v>797</v>
      </c>
      <c r="E10" s="7">
        <v>32</v>
      </c>
      <c r="F10" s="7">
        <v>4</v>
      </c>
      <c r="G10" s="7">
        <v>12</v>
      </c>
      <c r="H10" s="7">
        <f>+G10*F10</f>
        <v>48</v>
      </c>
      <c r="I10" s="10">
        <v>2</v>
      </c>
      <c r="J10" s="7">
        <v>12</v>
      </c>
      <c r="K10" s="7">
        <f>+J10*I10</f>
        <v>24</v>
      </c>
      <c r="L10" s="7">
        <f>+K10-H10</f>
        <v>-24</v>
      </c>
      <c r="M10" s="4"/>
    </row>
    <row r="11" spans="1:13" x14ac:dyDescent="0.25">
      <c r="A11" s="11"/>
      <c r="B11" s="11" t="s">
        <v>18</v>
      </c>
      <c r="C11" s="11"/>
      <c r="D11" s="11"/>
      <c r="E11" s="11"/>
      <c r="F11" s="11"/>
      <c r="G11" s="11"/>
      <c r="H11" s="11">
        <f>SUM(H7:H10)</f>
        <v>192</v>
      </c>
      <c r="I11" s="11"/>
      <c r="J11" s="11"/>
      <c r="K11" s="11">
        <f>SUM(K7:K10)</f>
        <v>132</v>
      </c>
      <c r="L11" s="11">
        <f>SUM(L7:L10)</f>
        <v>-60</v>
      </c>
      <c r="M11" s="4"/>
    </row>
    <row r="12" spans="1:13" x14ac:dyDescent="0.25">
      <c r="A12" s="38" t="s">
        <v>28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</row>
    <row r="13" spans="1:13" x14ac:dyDescent="0.25">
      <c r="A13" s="7">
        <v>1</v>
      </c>
      <c r="B13" s="7" t="s">
        <v>16</v>
      </c>
      <c r="C13" s="7" t="s">
        <v>17</v>
      </c>
      <c r="D13" s="7">
        <v>368</v>
      </c>
      <c r="E13" s="7">
        <v>40</v>
      </c>
      <c r="F13" s="7">
        <v>3</v>
      </c>
      <c r="G13" s="7">
        <v>12</v>
      </c>
      <c r="H13" s="7">
        <f t="shared" ref="H13:H21" si="0">+G13*F13</f>
        <v>36</v>
      </c>
      <c r="I13" s="9">
        <v>3</v>
      </c>
      <c r="J13" s="7">
        <v>12</v>
      </c>
      <c r="K13" s="7">
        <f t="shared" ref="K13:K21" si="1">+J13*I13</f>
        <v>36</v>
      </c>
      <c r="L13" s="7">
        <f t="shared" ref="L13:L21" si="2">+K13-H13</f>
        <v>0</v>
      </c>
      <c r="M13" s="4"/>
    </row>
    <row r="14" spans="1:13" x14ac:dyDescent="0.25">
      <c r="A14" s="7">
        <v>2</v>
      </c>
      <c r="B14" s="7" t="s">
        <v>16</v>
      </c>
      <c r="C14" s="7" t="s">
        <v>17</v>
      </c>
      <c r="D14" s="7">
        <v>708</v>
      </c>
      <c r="E14" s="7">
        <v>40</v>
      </c>
      <c r="F14" s="7">
        <v>3</v>
      </c>
      <c r="G14" s="7">
        <v>12</v>
      </c>
      <c r="H14" s="7">
        <f t="shared" si="0"/>
        <v>36</v>
      </c>
      <c r="I14" s="7">
        <v>3</v>
      </c>
      <c r="J14" s="7">
        <v>12</v>
      </c>
      <c r="K14" s="7">
        <f t="shared" si="1"/>
        <v>36</v>
      </c>
      <c r="L14" s="7">
        <f t="shared" si="2"/>
        <v>0</v>
      </c>
      <c r="M14" s="4"/>
    </row>
    <row r="15" spans="1:13" x14ac:dyDescent="0.25">
      <c r="A15" s="7">
        <v>3</v>
      </c>
      <c r="B15" s="7" t="s">
        <v>16</v>
      </c>
      <c r="C15" s="7" t="s">
        <v>17</v>
      </c>
      <c r="D15" s="7">
        <v>675</v>
      </c>
      <c r="E15" s="7">
        <v>40</v>
      </c>
      <c r="F15" s="7">
        <v>3</v>
      </c>
      <c r="G15" s="7">
        <v>12</v>
      </c>
      <c r="H15" s="7">
        <f t="shared" si="0"/>
        <v>36</v>
      </c>
      <c r="I15" s="7">
        <v>3</v>
      </c>
      <c r="J15" s="7">
        <v>12</v>
      </c>
      <c r="K15" s="7">
        <f t="shared" si="1"/>
        <v>36</v>
      </c>
      <c r="L15" s="7">
        <f t="shared" si="2"/>
        <v>0</v>
      </c>
      <c r="M15" s="4"/>
    </row>
    <row r="16" spans="1:13" x14ac:dyDescent="0.25">
      <c r="A16" s="7">
        <v>4</v>
      </c>
      <c r="B16" s="7" t="s">
        <v>16</v>
      </c>
      <c r="C16" s="7" t="s">
        <v>17</v>
      </c>
      <c r="D16" s="19">
        <v>424</v>
      </c>
      <c r="E16" s="7">
        <v>40</v>
      </c>
      <c r="F16" s="7">
        <v>3</v>
      </c>
      <c r="G16" s="7">
        <v>12</v>
      </c>
      <c r="H16" s="7">
        <f t="shared" si="0"/>
        <v>36</v>
      </c>
      <c r="I16" s="18">
        <v>2</v>
      </c>
      <c r="J16" s="7">
        <v>12</v>
      </c>
      <c r="K16" s="7">
        <f t="shared" si="1"/>
        <v>24</v>
      </c>
      <c r="L16" s="7">
        <f t="shared" si="2"/>
        <v>-12</v>
      </c>
      <c r="M16" s="4"/>
    </row>
    <row r="17" spans="1:13" x14ac:dyDescent="0.25">
      <c r="A17" s="7">
        <v>5</v>
      </c>
      <c r="B17" s="7" t="s">
        <v>16</v>
      </c>
      <c r="C17" s="7" t="s">
        <v>17</v>
      </c>
      <c r="D17" s="7">
        <v>681</v>
      </c>
      <c r="E17" s="7">
        <v>40</v>
      </c>
      <c r="F17" s="7">
        <v>3</v>
      </c>
      <c r="G17" s="7">
        <v>12</v>
      </c>
      <c r="H17" s="7">
        <f t="shared" si="0"/>
        <v>36</v>
      </c>
      <c r="I17" s="9">
        <v>3</v>
      </c>
      <c r="J17" s="7">
        <v>12</v>
      </c>
      <c r="K17" s="7">
        <f t="shared" si="1"/>
        <v>36</v>
      </c>
      <c r="L17" s="7">
        <f t="shared" si="2"/>
        <v>0</v>
      </c>
      <c r="M17" s="4"/>
    </row>
    <row r="18" spans="1:13" x14ac:dyDescent="0.25">
      <c r="A18" s="7">
        <v>6</v>
      </c>
      <c r="B18" s="7" t="s">
        <v>16</v>
      </c>
      <c r="C18" s="7" t="s">
        <v>17</v>
      </c>
      <c r="D18" s="19">
        <v>525</v>
      </c>
      <c r="E18" s="7">
        <v>40</v>
      </c>
      <c r="F18" s="7">
        <v>3</v>
      </c>
      <c r="G18" s="7">
        <v>12</v>
      </c>
      <c r="H18" s="7">
        <f t="shared" si="0"/>
        <v>36</v>
      </c>
      <c r="I18" s="18">
        <v>2</v>
      </c>
      <c r="J18" s="7">
        <v>12</v>
      </c>
      <c r="K18" s="7">
        <f t="shared" si="1"/>
        <v>24</v>
      </c>
      <c r="L18" s="7">
        <f t="shared" si="2"/>
        <v>-12</v>
      </c>
      <c r="M18" s="4"/>
    </row>
    <row r="19" spans="1:13" x14ac:dyDescent="0.25">
      <c r="A19" s="7">
        <v>7</v>
      </c>
      <c r="B19" s="7" t="s">
        <v>16</v>
      </c>
      <c r="C19" s="7" t="s">
        <v>17</v>
      </c>
      <c r="D19" s="19">
        <v>445</v>
      </c>
      <c r="E19" s="7">
        <v>40</v>
      </c>
      <c r="F19" s="7">
        <v>3</v>
      </c>
      <c r="G19" s="7">
        <v>12</v>
      </c>
      <c r="H19" s="7">
        <f t="shared" si="0"/>
        <v>36</v>
      </c>
      <c r="I19" s="19">
        <v>2</v>
      </c>
      <c r="J19" s="7">
        <v>12</v>
      </c>
      <c r="K19" s="7">
        <f t="shared" si="1"/>
        <v>24</v>
      </c>
      <c r="L19" s="7">
        <f t="shared" si="2"/>
        <v>-12</v>
      </c>
      <c r="M19" s="4"/>
    </row>
    <row r="20" spans="1:13" x14ac:dyDescent="0.25">
      <c r="A20" s="7">
        <v>8</v>
      </c>
      <c r="B20" s="7" t="s">
        <v>16</v>
      </c>
      <c r="C20" s="7" t="s">
        <v>17</v>
      </c>
      <c r="D20" s="7">
        <v>506</v>
      </c>
      <c r="E20" s="7">
        <v>40</v>
      </c>
      <c r="F20" s="7">
        <v>3</v>
      </c>
      <c r="G20" s="7">
        <v>12</v>
      </c>
      <c r="H20" s="7">
        <f t="shared" si="0"/>
        <v>36</v>
      </c>
      <c r="I20" s="7">
        <v>3</v>
      </c>
      <c r="J20" s="7">
        <v>12</v>
      </c>
      <c r="K20" s="7">
        <f t="shared" si="1"/>
        <v>36</v>
      </c>
      <c r="L20" s="7">
        <f t="shared" si="2"/>
        <v>0</v>
      </c>
      <c r="M20" s="4"/>
    </row>
    <row r="21" spans="1:13" x14ac:dyDescent="0.25">
      <c r="A21" s="7">
        <v>9</v>
      </c>
      <c r="B21" s="7" t="s">
        <v>16</v>
      </c>
      <c r="C21" s="7" t="s">
        <v>17</v>
      </c>
      <c r="D21" s="10">
        <v>713</v>
      </c>
      <c r="E21" s="7">
        <v>40</v>
      </c>
      <c r="F21" s="7">
        <v>3</v>
      </c>
      <c r="G21" s="7">
        <v>12</v>
      </c>
      <c r="H21" s="7">
        <f t="shared" si="0"/>
        <v>36</v>
      </c>
      <c r="I21" s="10">
        <v>1</v>
      </c>
      <c r="J21" s="7">
        <v>12</v>
      </c>
      <c r="K21" s="7">
        <f t="shared" si="1"/>
        <v>12</v>
      </c>
      <c r="L21" s="7">
        <f t="shared" si="2"/>
        <v>-24</v>
      </c>
      <c r="M21" s="4"/>
    </row>
    <row r="22" spans="1:13" hidden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4"/>
    </row>
    <row r="23" spans="1:13" hidden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4"/>
    </row>
    <row r="24" spans="1:13" hidden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4"/>
    </row>
    <row r="25" spans="1:13" hidden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4"/>
    </row>
    <row r="26" spans="1:13" hidden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4"/>
    </row>
    <row r="27" spans="1:13" x14ac:dyDescent="0.25">
      <c r="A27" s="11"/>
      <c r="B27" s="11" t="s">
        <v>18</v>
      </c>
      <c r="C27" s="11"/>
      <c r="D27" s="11"/>
      <c r="E27" s="11"/>
      <c r="F27" s="11"/>
      <c r="G27" s="11"/>
      <c r="H27" s="11">
        <f>SUM(H13:H26)</f>
        <v>324</v>
      </c>
      <c r="I27" s="11"/>
      <c r="J27" s="11"/>
      <c r="K27" s="11">
        <f>SUM(K13:K26)</f>
        <v>264</v>
      </c>
      <c r="L27" s="11">
        <f>SUM(L13:L26)</f>
        <v>-60</v>
      </c>
      <c r="M27" s="4"/>
    </row>
    <row r="28" spans="1:13" x14ac:dyDescent="0.25">
      <c r="A28" s="38" t="s">
        <v>27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 spans="1:13" x14ac:dyDescent="0.25">
      <c r="A29" s="7">
        <v>1</v>
      </c>
      <c r="B29" s="7" t="s">
        <v>24</v>
      </c>
      <c r="C29" s="7" t="s">
        <v>25</v>
      </c>
      <c r="D29" s="7">
        <v>771</v>
      </c>
      <c r="E29" s="7">
        <v>72</v>
      </c>
      <c r="F29" s="7">
        <v>2</v>
      </c>
      <c r="G29" s="7">
        <v>12</v>
      </c>
      <c r="H29" s="7">
        <f>+G29*F29</f>
        <v>24</v>
      </c>
      <c r="I29" s="7">
        <v>2</v>
      </c>
      <c r="J29" s="7">
        <v>12</v>
      </c>
      <c r="K29" s="7">
        <f>+J29*I29</f>
        <v>24</v>
      </c>
      <c r="L29" s="7">
        <f>+K29-H29</f>
        <v>0</v>
      </c>
      <c r="M29" s="4"/>
    </row>
    <row r="30" spans="1:13" x14ac:dyDescent="0.25">
      <c r="A30" s="7">
        <v>2</v>
      </c>
      <c r="B30" s="7" t="s">
        <v>24</v>
      </c>
      <c r="C30" s="7" t="s">
        <v>25</v>
      </c>
      <c r="D30" s="7">
        <v>912</v>
      </c>
      <c r="E30" s="7">
        <v>72</v>
      </c>
      <c r="F30" s="7">
        <v>2</v>
      </c>
      <c r="G30" s="7">
        <v>12</v>
      </c>
      <c r="H30" s="7">
        <f>+G30*F30</f>
        <v>24</v>
      </c>
      <c r="I30" s="7">
        <v>2</v>
      </c>
      <c r="J30" s="7">
        <v>12</v>
      </c>
      <c r="K30" s="7">
        <f>+J30*I30</f>
        <v>24</v>
      </c>
      <c r="L30" s="7">
        <f>+K30-H30</f>
        <v>0</v>
      </c>
      <c r="M30" s="4"/>
    </row>
    <row r="31" spans="1:13" x14ac:dyDescent="0.25">
      <c r="A31" s="7">
        <v>3</v>
      </c>
      <c r="B31" s="7" t="s">
        <v>24</v>
      </c>
      <c r="C31" s="7" t="s">
        <v>25</v>
      </c>
      <c r="D31" s="7">
        <v>235</v>
      </c>
      <c r="E31" s="7">
        <v>80</v>
      </c>
      <c r="F31" s="7">
        <v>2</v>
      </c>
      <c r="G31" s="7">
        <v>12</v>
      </c>
      <c r="H31" s="7">
        <f t="shared" ref="H31:H33" si="3">+G31*F31</f>
        <v>24</v>
      </c>
      <c r="I31" s="7">
        <v>2</v>
      </c>
      <c r="J31" s="7">
        <v>12</v>
      </c>
      <c r="K31" s="7">
        <f t="shared" ref="K31:K33" si="4">+J31*I31</f>
        <v>24</v>
      </c>
      <c r="L31" s="7">
        <f t="shared" ref="L31:L33" si="5">+K31-H31</f>
        <v>0</v>
      </c>
      <c r="M31" s="4"/>
    </row>
    <row r="32" spans="1:13" x14ac:dyDescent="0.25">
      <c r="A32" s="7">
        <v>4</v>
      </c>
      <c r="B32" s="7" t="s">
        <v>24</v>
      </c>
      <c r="C32" s="7" t="s">
        <v>25</v>
      </c>
      <c r="D32" s="7">
        <v>317</v>
      </c>
      <c r="E32" s="7">
        <v>80</v>
      </c>
      <c r="F32" s="7">
        <v>2</v>
      </c>
      <c r="G32" s="7">
        <v>12</v>
      </c>
      <c r="H32" s="7">
        <f t="shared" si="3"/>
        <v>24</v>
      </c>
      <c r="I32" s="7">
        <v>2</v>
      </c>
      <c r="J32" s="7">
        <v>12</v>
      </c>
      <c r="K32" s="7">
        <f t="shared" si="4"/>
        <v>24</v>
      </c>
      <c r="L32" s="7">
        <f t="shared" si="5"/>
        <v>0</v>
      </c>
      <c r="M32" s="4"/>
    </row>
    <row r="33" spans="1:13" x14ac:dyDescent="0.25">
      <c r="A33" s="7">
        <v>5</v>
      </c>
      <c r="B33" s="7" t="s">
        <v>24</v>
      </c>
      <c r="C33" s="7" t="s">
        <v>25</v>
      </c>
      <c r="D33" s="7">
        <v>354</v>
      </c>
      <c r="E33" s="7">
        <v>80</v>
      </c>
      <c r="F33" s="7">
        <v>2</v>
      </c>
      <c r="G33" s="7">
        <v>12</v>
      </c>
      <c r="H33" s="7">
        <f t="shared" si="3"/>
        <v>24</v>
      </c>
      <c r="I33" s="7">
        <v>1</v>
      </c>
      <c r="J33" s="7">
        <v>12</v>
      </c>
      <c r="K33" s="7">
        <f t="shared" si="4"/>
        <v>12</v>
      </c>
      <c r="L33" s="7">
        <f t="shared" si="5"/>
        <v>-12</v>
      </c>
      <c r="M33" s="4"/>
    </row>
    <row r="34" spans="1:13" hidden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4"/>
    </row>
    <row r="35" spans="1:13" hidden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4"/>
    </row>
    <row r="36" spans="1:13" hidden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4"/>
    </row>
    <row r="37" spans="1:13" x14ac:dyDescent="0.25">
      <c r="A37" s="11"/>
      <c r="B37" s="11" t="s">
        <v>18</v>
      </c>
      <c r="C37" s="11"/>
      <c r="D37" s="11"/>
      <c r="E37" s="11"/>
      <c r="F37" s="11"/>
      <c r="G37" s="11"/>
      <c r="H37" s="11">
        <f>SUM(H29:H36)</f>
        <v>120</v>
      </c>
      <c r="I37" s="11"/>
      <c r="J37" s="11"/>
      <c r="K37" s="11">
        <f>SUM(K29:K36)</f>
        <v>108</v>
      </c>
      <c r="L37" s="11">
        <f>SUM(L29:L36)</f>
        <v>-12</v>
      </c>
      <c r="M37" s="4"/>
    </row>
  </sheetData>
  <mergeCells count="13">
    <mergeCell ref="A28:M28"/>
    <mergeCell ref="I2:K2"/>
    <mergeCell ref="L2:L3"/>
    <mergeCell ref="M2:M4"/>
    <mergeCell ref="A5:M5"/>
    <mergeCell ref="A6:M6"/>
    <mergeCell ref="A12:M12"/>
    <mergeCell ref="A2:A4"/>
    <mergeCell ref="B2:B4"/>
    <mergeCell ref="C2:C4"/>
    <mergeCell ref="D2:D4"/>
    <mergeCell ref="E2:E3"/>
    <mergeCell ref="F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1227-27B8-41C3-ABA9-06C488F0CDBC}">
  <dimension ref="A1:M37"/>
  <sheetViews>
    <sheetView zoomScaleNormal="100" workbookViewId="0">
      <pane ySplit="4" topLeftCell="A5" activePane="bottomLeft" state="frozen"/>
      <selection pane="bottomLeft" activeCell="I13" sqref="I13"/>
    </sheetView>
  </sheetViews>
  <sheetFormatPr defaultRowHeight="15" x14ac:dyDescent="0.25"/>
  <cols>
    <col min="1" max="1" width="9.140625" style="6"/>
    <col min="2" max="2" width="11.5703125" style="6" bestFit="1" customWidth="1"/>
    <col min="3" max="3" width="11.7109375" style="6" bestFit="1" customWidth="1"/>
    <col min="4" max="4" width="9.140625" style="6"/>
    <col min="5" max="5" width="10.42578125" style="6" bestFit="1" customWidth="1"/>
    <col min="6" max="12" width="9.140625" style="6"/>
    <col min="13" max="13" width="29" style="6" customWidth="1"/>
    <col min="14" max="16384" width="9.140625" style="6"/>
  </cols>
  <sheetData>
    <row r="1" spans="1:13" x14ac:dyDescent="0.25">
      <c r="M1" s="12">
        <v>46275</v>
      </c>
    </row>
    <row r="2" spans="1:13" x14ac:dyDescent="0.25">
      <c r="A2" s="40" t="s">
        <v>0</v>
      </c>
      <c r="B2" s="41" t="s">
        <v>1</v>
      </c>
      <c r="C2" s="42" t="s">
        <v>2</v>
      </c>
      <c r="D2" s="42" t="s">
        <v>3</v>
      </c>
      <c r="E2" s="41" t="s">
        <v>4</v>
      </c>
      <c r="F2" s="39" t="s">
        <v>19</v>
      </c>
      <c r="G2" s="39"/>
      <c r="H2" s="39"/>
      <c r="I2" s="39" t="s">
        <v>20</v>
      </c>
      <c r="J2" s="39"/>
      <c r="K2" s="39"/>
      <c r="L2" s="40" t="s">
        <v>10</v>
      </c>
      <c r="M2" s="40" t="s">
        <v>11</v>
      </c>
    </row>
    <row r="3" spans="1:13" ht="45" x14ac:dyDescent="0.25">
      <c r="A3" s="40"/>
      <c r="B3" s="41"/>
      <c r="C3" s="42"/>
      <c r="D3" s="42"/>
      <c r="E3" s="41"/>
      <c r="F3" s="14" t="s">
        <v>5</v>
      </c>
      <c r="G3" s="14" t="s">
        <v>6</v>
      </c>
      <c r="H3" s="14" t="s">
        <v>7</v>
      </c>
      <c r="I3" s="14" t="s">
        <v>8</v>
      </c>
      <c r="J3" s="14" t="s">
        <v>6</v>
      </c>
      <c r="K3" s="14" t="s">
        <v>9</v>
      </c>
      <c r="L3" s="40"/>
      <c r="M3" s="40"/>
    </row>
    <row r="4" spans="1:13" x14ac:dyDescent="0.25">
      <c r="A4" s="40"/>
      <c r="B4" s="41"/>
      <c r="C4" s="42"/>
      <c r="D4" s="42"/>
      <c r="E4" s="15" t="s">
        <v>12</v>
      </c>
      <c r="F4" s="14" t="s">
        <v>13</v>
      </c>
      <c r="G4" s="3" t="s">
        <v>14</v>
      </c>
      <c r="H4" s="14" t="s">
        <v>14</v>
      </c>
      <c r="I4" s="14" t="s">
        <v>13</v>
      </c>
      <c r="J4" s="3" t="s">
        <v>14</v>
      </c>
      <c r="K4" s="14" t="s">
        <v>14</v>
      </c>
      <c r="L4" s="14" t="s">
        <v>14</v>
      </c>
      <c r="M4" s="40"/>
    </row>
    <row r="5" spans="1:13" x14ac:dyDescent="0.25">
      <c r="A5" s="43" t="s">
        <v>15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</row>
    <row r="6" spans="1:13" x14ac:dyDescent="0.25">
      <c r="A6" s="38" t="s">
        <v>21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</row>
    <row r="7" spans="1:13" x14ac:dyDescent="0.25">
      <c r="A7" s="15">
        <v>1</v>
      </c>
      <c r="B7" s="15" t="s">
        <v>16</v>
      </c>
      <c r="C7" s="15" t="s">
        <v>17</v>
      </c>
      <c r="D7" s="19">
        <v>976</v>
      </c>
      <c r="E7" s="15">
        <v>32</v>
      </c>
      <c r="F7" s="15">
        <v>4</v>
      </c>
      <c r="G7" s="15">
        <v>12</v>
      </c>
      <c r="H7" s="15">
        <f>+G7*F7</f>
        <v>48</v>
      </c>
      <c r="I7" s="19">
        <v>3</v>
      </c>
      <c r="J7" s="15">
        <v>12</v>
      </c>
      <c r="K7" s="15">
        <f>+J7*I7</f>
        <v>36</v>
      </c>
      <c r="L7" s="15">
        <f>+K7-H7</f>
        <v>-12</v>
      </c>
      <c r="M7" s="4"/>
    </row>
    <row r="8" spans="1:13" x14ac:dyDescent="0.25">
      <c r="A8" s="15">
        <v>2</v>
      </c>
      <c r="B8" s="15" t="s">
        <v>16</v>
      </c>
      <c r="C8" s="15" t="s">
        <v>17</v>
      </c>
      <c r="D8" s="10">
        <v>274</v>
      </c>
      <c r="E8" s="15">
        <v>32</v>
      </c>
      <c r="F8" s="15">
        <v>4</v>
      </c>
      <c r="G8" s="15">
        <v>12</v>
      </c>
      <c r="H8" s="15">
        <f>+G8*F8</f>
        <v>48</v>
      </c>
      <c r="I8" s="10">
        <v>2</v>
      </c>
      <c r="J8" s="15">
        <v>12</v>
      </c>
      <c r="K8" s="15">
        <f>+J8*I8</f>
        <v>24</v>
      </c>
      <c r="L8" s="15">
        <f>+K8-H8</f>
        <v>-24</v>
      </c>
      <c r="M8" s="4"/>
    </row>
    <row r="9" spans="1:13" x14ac:dyDescent="0.25">
      <c r="A9" s="15">
        <v>3</v>
      </c>
      <c r="B9" s="15" t="s">
        <v>16</v>
      </c>
      <c r="C9" s="15" t="s">
        <v>17</v>
      </c>
      <c r="D9" s="15">
        <v>428</v>
      </c>
      <c r="E9" s="15">
        <v>32</v>
      </c>
      <c r="F9" s="15">
        <v>4</v>
      </c>
      <c r="G9" s="15">
        <v>12</v>
      </c>
      <c r="H9" s="15">
        <f>+G9*F9</f>
        <v>48</v>
      </c>
      <c r="I9" s="15">
        <v>4</v>
      </c>
      <c r="J9" s="15">
        <v>12</v>
      </c>
      <c r="K9" s="15">
        <f>+J9*I9</f>
        <v>48</v>
      </c>
      <c r="L9" s="15">
        <f>+K9-H9</f>
        <v>0</v>
      </c>
      <c r="M9" s="4"/>
    </row>
    <row r="10" spans="1:13" x14ac:dyDescent="0.25">
      <c r="A10" s="15">
        <v>4</v>
      </c>
      <c r="B10" s="15" t="s">
        <v>16</v>
      </c>
      <c r="C10" s="15" t="s">
        <v>17</v>
      </c>
      <c r="D10" s="10">
        <v>797</v>
      </c>
      <c r="E10" s="15">
        <v>32</v>
      </c>
      <c r="F10" s="15">
        <v>4</v>
      </c>
      <c r="G10" s="15">
        <v>12</v>
      </c>
      <c r="H10" s="15">
        <f>+G10*F10</f>
        <v>48</v>
      </c>
      <c r="I10" s="10">
        <v>2</v>
      </c>
      <c r="J10" s="15">
        <v>12</v>
      </c>
      <c r="K10" s="15">
        <f>+J10*I10</f>
        <v>24</v>
      </c>
      <c r="L10" s="15">
        <f>+K10-H10</f>
        <v>-24</v>
      </c>
      <c r="M10" s="4"/>
    </row>
    <row r="11" spans="1:13" x14ac:dyDescent="0.25">
      <c r="A11" s="13"/>
      <c r="B11" s="13" t="s">
        <v>18</v>
      </c>
      <c r="C11" s="13"/>
      <c r="D11" s="13"/>
      <c r="E11" s="13"/>
      <c r="F11" s="13"/>
      <c r="G11" s="13"/>
      <c r="H11" s="13">
        <f>SUM(H7:H10)</f>
        <v>192</v>
      </c>
      <c r="I11" s="13"/>
      <c r="J11" s="13"/>
      <c r="K11" s="13">
        <f>SUM(K7:K10)</f>
        <v>132</v>
      </c>
      <c r="L11" s="13">
        <f>SUM(L7:L10)</f>
        <v>-60</v>
      </c>
      <c r="M11" s="4"/>
    </row>
    <row r="12" spans="1:13" x14ac:dyDescent="0.25">
      <c r="A12" s="38" t="s">
        <v>28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</row>
    <row r="13" spans="1:13" x14ac:dyDescent="0.25">
      <c r="A13" s="15">
        <v>1</v>
      </c>
      <c r="B13" s="15" t="s">
        <v>16</v>
      </c>
      <c r="C13" s="15" t="s">
        <v>17</v>
      </c>
      <c r="D13" s="15">
        <v>368</v>
      </c>
      <c r="E13" s="15">
        <v>40</v>
      </c>
      <c r="F13" s="15">
        <v>3</v>
      </c>
      <c r="G13" s="15">
        <v>12</v>
      </c>
      <c r="H13" s="15">
        <f t="shared" ref="H13:H21" si="0">+G13*F13</f>
        <v>36</v>
      </c>
      <c r="I13" s="16">
        <v>3</v>
      </c>
      <c r="J13" s="15">
        <v>12</v>
      </c>
      <c r="K13" s="15">
        <f t="shared" ref="K13:K21" si="1">+J13*I13</f>
        <v>36</v>
      </c>
      <c r="L13" s="15">
        <f t="shared" ref="L13:L21" si="2">+K13-H13</f>
        <v>0</v>
      </c>
      <c r="M13" s="4"/>
    </row>
    <row r="14" spans="1:13" x14ac:dyDescent="0.25">
      <c r="A14" s="15">
        <v>2</v>
      </c>
      <c r="B14" s="15" t="s">
        <v>16</v>
      </c>
      <c r="C14" s="15" t="s">
        <v>17</v>
      </c>
      <c r="D14" s="15">
        <v>708</v>
      </c>
      <c r="E14" s="15">
        <v>40</v>
      </c>
      <c r="F14" s="15">
        <v>3</v>
      </c>
      <c r="G14" s="15">
        <v>12</v>
      </c>
      <c r="H14" s="15">
        <f t="shared" si="0"/>
        <v>36</v>
      </c>
      <c r="I14" s="15">
        <v>3</v>
      </c>
      <c r="J14" s="15">
        <v>12</v>
      </c>
      <c r="K14" s="15">
        <f t="shared" si="1"/>
        <v>36</v>
      </c>
      <c r="L14" s="15">
        <f t="shared" si="2"/>
        <v>0</v>
      </c>
      <c r="M14" s="4"/>
    </row>
    <row r="15" spans="1:13" x14ac:dyDescent="0.25">
      <c r="A15" s="15">
        <v>3</v>
      </c>
      <c r="B15" s="15" t="s">
        <v>16</v>
      </c>
      <c r="C15" s="15" t="s">
        <v>17</v>
      </c>
      <c r="D15" s="15">
        <v>675</v>
      </c>
      <c r="E15" s="15">
        <v>40</v>
      </c>
      <c r="F15" s="15">
        <v>3</v>
      </c>
      <c r="G15" s="15">
        <v>12</v>
      </c>
      <c r="H15" s="15">
        <f t="shared" si="0"/>
        <v>36</v>
      </c>
      <c r="I15" s="15">
        <v>3</v>
      </c>
      <c r="J15" s="15">
        <v>12</v>
      </c>
      <c r="K15" s="15">
        <f t="shared" si="1"/>
        <v>36</v>
      </c>
      <c r="L15" s="15">
        <f t="shared" si="2"/>
        <v>0</v>
      </c>
      <c r="M15" s="4"/>
    </row>
    <row r="16" spans="1:13" x14ac:dyDescent="0.25">
      <c r="A16" s="15">
        <v>4</v>
      </c>
      <c r="B16" s="15" t="s">
        <v>16</v>
      </c>
      <c r="C16" s="15" t="s">
        <v>17</v>
      </c>
      <c r="D16" s="19">
        <v>424</v>
      </c>
      <c r="E16" s="15">
        <v>40</v>
      </c>
      <c r="F16" s="15">
        <v>3</v>
      </c>
      <c r="G16" s="15">
        <v>12</v>
      </c>
      <c r="H16" s="15">
        <f t="shared" si="0"/>
        <v>36</v>
      </c>
      <c r="I16" s="18">
        <v>2</v>
      </c>
      <c r="J16" s="15">
        <v>12</v>
      </c>
      <c r="K16" s="15">
        <f t="shared" si="1"/>
        <v>24</v>
      </c>
      <c r="L16" s="15">
        <f t="shared" si="2"/>
        <v>-12</v>
      </c>
      <c r="M16" s="4"/>
    </row>
    <row r="17" spans="1:13" x14ac:dyDescent="0.25">
      <c r="A17" s="15">
        <v>5</v>
      </c>
      <c r="B17" s="15" t="s">
        <v>16</v>
      </c>
      <c r="C17" s="15" t="s">
        <v>17</v>
      </c>
      <c r="D17" s="15">
        <v>681</v>
      </c>
      <c r="E17" s="15">
        <v>40</v>
      </c>
      <c r="F17" s="15">
        <v>3</v>
      </c>
      <c r="G17" s="15">
        <v>12</v>
      </c>
      <c r="H17" s="15">
        <f t="shared" si="0"/>
        <v>36</v>
      </c>
      <c r="I17" s="16">
        <v>3</v>
      </c>
      <c r="J17" s="15">
        <v>12</v>
      </c>
      <c r="K17" s="15">
        <f t="shared" si="1"/>
        <v>36</v>
      </c>
      <c r="L17" s="15">
        <f t="shared" si="2"/>
        <v>0</v>
      </c>
      <c r="M17" s="4"/>
    </row>
    <row r="18" spans="1:13" x14ac:dyDescent="0.25">
      <c r="A18" s="15">
        <v>6</v>
      </c>
      <c r="B18" s="15" t="s">
        <v>16</v>
      </c>
      <c r="C18" s="15" t="s">
        <v>17</v>
      </c>
      <c r="D18" s="19">
        <v>525</v>
      </c>
      <c r="E18" s="15">
        <v>40</v>
      </c>
      <c r="F18" s="15">
        <v>3</v>
      </c>
      <c r="G18" s="15">
        <v>12</v>
      </c>
      <c r="H18" s="15">
        <f t="shared" si="0"/>
        <v>36</v>
      </c>
      <c r="I18" s="18">
        <v>2</v>
      </c>
      <c r="J18" s="15">
        <v>12</v>
      </c>
      <c r="K18" s="15">
        <f t="shared" si="1"/>
        <v>24</v>
      </c>
      <c r="L18" s="15">
        <f t="shared" si="2"/>
        <v>-12</v>
      </c>
      <c r="M18" s="4"/>
    </row>
    <row r="19" spans="1:13" x14ac:dyDescent="0.25">
      <c r="A19" s="15">
        <v>7</v>
      </c>
      <c r="B19" s="15" t="s">
        <v>16</v>
      </c>
      <c r="C19" s="15" t="s">
        <v>17</v>
      </c>
      <c r="D19" s="19">
        <v>445</v>
      </c>
      <c r="E19" s="15">
        <v>40</v>
      </c>
      <c r="F19" s="15">
        <v>3</v>
      </c>
      <c r="G19" s="15">
        <v>12</v>
      </c>
      <c r="H19" s="15">
        <f t="shared" si="0"/>
        <v>36</v>
      </c>
      <c r="I19" s="19">
        <v>2</v>
      </c>
      <c r="J19" s="15">
        <v>12</v>
      </c>
      <c r="K19" s="15">
        <f t="shared" si="1"/>
        <v>24</v>
      </c>
      <c r="L19" s="15">
        <f t="shared" si="2"/>
        <v>-12</v>
      </c>
      <c r="M19" s="4"/>
    </row>
    <row r="20" spans="1:13" x14ac:dyDescent="0.25">
      <c r="A20" s="15">
        <v>8</v>
      </c>
      <c r="B20" s="15" t="s">
        <v>16</v>
      </c>
      <c r="C20" s="15" t="s">
        <v>17</v>
      </c>
      <c r="D20" s="15">
        <v>506</v>
      </c>
      <c r="E20" s="15">
        <v>40</v>
      </c>
      <c r="F20" s="15">
        <v>3</v>
      </c>
      <c r="G20" s="15">
        <v>12</v>
      </c>
      <c r="H20" s="15">
        <f t="shared" si="0"/>
        <v>36</v>
      </c>
      <c r="I20" s="15">
        <v>3</v>
      </c>
      <c r="J20" s="15">
        <v>12</v>
      </c>
      <c r="K20" s="15">
        <f t="shared" si="1"/>
        <v>36</v>
      </c>
      <c r="L20" s="15">
        <f t="shared" si="2"/>
        <v>0</v>
      </c>
      <c r="M20" s="4"/>
    </row>
    <row r="21" spans="1:13" x14ac:dyDescent="0.25">
      <c r="A21" s="15">
        <v>9</v>
      </c>
      <c r="B21" s="15" t="s">
        <v>16</v>
      </c>
      <c r="C21" s="15" t="s">
        <v>17</v>
      </c>
      <c r="D21" s="10">
        <v>713</v>
      </c>
      <c r="E21" s="15">
        <v>40</v>
      </c>
      <c r="F21" s="15">
        <v>3</v>
      </c>
      <c r="G21" s="15">
        <v>12</v>
      </c>
      <c r="H21" s="15">
        <f t="shared" si="0"/>
        <v>36</v>
      </c>
      <c r="I21" s="10">
        <v>1</v>
      </c>
      <c r="J21" s="15">
        <v>12</v>
      </c>
      <c r="K21" s="15">
        <f t="shared" si="1"/>
        <v>12</v>
      </c>
      <c r="L21" s="15">
        <f t="shared" si="2"/>
        <v>-24</v>
      </c>
      <c r="M21" s="4"/>
    </row>
    <row r="22" spans="1:13" hidden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4"/>
    </row>
    <row r="23" spans="1:13" hidden="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4"/>
    </row>
    <row r="24" spans="1:13" hidden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4"/>
    </row>
    <row r="25" spans="1:13" hidden="1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4"/>
    </row>
    <row r="26" spans="1:13" hidden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4"/>
    </row>
    <row r="27" spans="1:13" x14ac:dyDescent="0.25">
      <c r="A27" s="13"/>
      <c r="B27" s="13" t="s">
        <v>18</v>
      </c>
      <c r="C27" s="13"/>
      <c r="D27" s="13"/>
      <c r="E27" s="13"/>
      <c r="F27" s="13"/>
      <c r="G27" s="13"/>
      <c r="H27" s="13">
        <f>SUM(H13:H26)</f>
        <v>324</v>
      </c>
      <c r="I27" s="13"/>
      <c r="J27" s="13"/>
      <c r="K27" s="13">
        <f>SUM(K13:K26)</f>
        <v>264</v>
      </c>
      <c r="L27" s="13">
        <f>SUM(L13:L26)</f>
        <v>-60</v>
      </c>
      <c r="M27" s="4"/>
    </row>
    <row r="28" spans="1:13" x14ac:dyDescent="0.25">
      <c r="A28" s="38" t="s">
        <v>27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 spans="1:13" x14ac:dyDescent="0.25">
      <c r="A29" s="15">
        <v>1</v>
      </c>
      <c r="B29" s="15" t="s">
        <v>24</v>
      </c>
      <c r="C29" s="15" t="s">
        <v>25</v>
      </c>
      <c r="D29" s="15">
        <v>771</v>
      </c>
      <c r="E29" s="15">
        <v>72</v>
      </c>
      <c r="F29" s="15">
        <v>2</v>
      </c>
      <c r="G29" s="15">
        <v>12</v>
      </c>
      <c r="H29" s="15">
        <f>+G29*F29</f>
        <v>24</v>
      </c>
      <c r="I29" s="15">
        <v>2</v>
      </c>
      <c r="J29" s="15">
        <v>12</v>
      </c>
      <c r="K29" s="15">
        <f>+J29*I29</f>
        <v>24</v>
      </c>
      <c r="L29" s="15">
        <f>+K29-H29</f>
        <v>0</v>
      </c>
      <c r="M29" s="4"/>
    </row>
    <row r="30" spans="1:13" x14ac:dyDescent="0.25">
      <c r="A30" s="15">
        <v>2</v>
      </c>
      <c r="B30" s="15" t="s">
        <v>24</v>
      </c>
      <c r="C30" s="15" t="s">
        <v>25</v>
      </c>
      <c r="D30" s="15">
        <v>912</v>
      </c>
      <c r="E30" s="15">
        <v>72</v>
      </c>
      <c r="F30" s="15">
        <v>2</v>
      </c>
      <c r="G30" s="15">
        <v>12</v>
      </c>
      <c r="H30" s="15">
        <f>+G30*F30</f>
        <v>24</v>
      </c>
      <c r="I30" s="15">
        <v>2</v>
      </c>
      <c r="J30" s="15">
        <v>12</v>
      </c>
      <c r="K30" s="15">
        <f>+J30*I30</f>
        <v>24</v>
      </c>
      <c r="L30" s="15">
        <f>+K30-H30</f>
        <v>0</v>
      </c>
      <c r="M30" s="4"/>
    </row>
    <row r="31" spans="1:13" x14ac:dyDescent="0.25">
      <c r="A31" s="15">
        <v>3</v>
      </c>
      <c r="B31" s="15" t="s">
        <v>24</v>
      </c>
      <c r="C31" s="15" t="s">
        <v>25</v>
      </c>
      <c r="D31" s="15">
        <v>235</v>
      </c>
      <c r="E31" s="15">
        <v>80</v>
      </c>
      <c r="F31" s="15">
        <v>2</v>
      </c>
      <c r="G31" s="15">
        <v>12</v>
      </c>
      <c r="H31" s="15">
        <f t="shared" ref="H31:H33" si="3">+G31*F31</f>
        <v>24</v>
      </c>
      <c r="I31" s="15">
        <v>2</v>
      </c>
      <c r="J31" s="15">
        <v>12</v>
      </c>
      <c r="K31" s="15">
        <f t="shared" ref="K31:K33" si="4">+J31*I31</f>
        <v>24</v>
      </c>
      <c r="L31" s="15">
        <f t="shared" ref="L31:L33" si="5">+K31-H31</f>
        <v>0</v>
      </c>
      <c r="M31" s="4"/>
    </row>
    <row r="32" spans="1:13" x14ac:dyDescent="0.25">
      <c r="A32" s="15">
        <v>4</v>
      </c>
      <c r="B32" s="15" t="s">
        <v>24</v>
      </c>
      <c r="C32" s="15" t="s">
        <v>25</v>
      </c>
      <c r="D32" s="15">
        <v>317</v>
      </c>
      <c r="E32" s="15">
        <v>80</v>
      </c>
      <c r="F32" s="15">
        <v>2</v>
      </c>
      <c r="G32" s="15">
        <v>12</v>
      </c>
      <c r="H32" s="15">
        <f t="shared" si="3"/>
        <v>24</v>
      </c>
      <c r="I32" s="15">
        <v>2</v>
      </c>
      <c r="J32" s="15">
        <v>12</v>
      </c>
      <c r="K32" s="15">
        <f t="shared" si="4"/>
        <v>24</v>
      </c>
      <c r="L32" s="15">
        <f t="shared" si="5"/>
        <v>0</v>
      </c>
      <c r="M32" s="4"/>
    </row>
    <row r="33" spans="1:13" x14ac:dyDescent="0.25">
      <c r="A33" s="15">
        <v>5</v>
      </c>
      <c r="B33" s="15" t="s">
        <v>24</v>
      </c>
      <c r="C33" s="15" t="s">
        <v>25</v>
      </c>
      <c r="D33" s="15">
        <v>354</v>
      </c>
      <c r="E33" s="15">
        <v>80</v>
      </c>
      <c r="F33" s="15">
        <v>2</v>
      </c>
      <c r="G33" s="15">
        <v>12</v>
      </c>
      <c r="H33" s="15">
        <f t="shared" si="3"/>
        <v>24</v>
      </c>
      <c r="I33" s="15">
        <v>1</v>
      </c>
      <c r="J33" s="15">
        <v>12</v>
      </c>
      <c r="K33" s="15">
        <f t="shared" si="4"/>
        <v>12</v>
      </c>
      <c r="L33" s="15">
        <f t="shared" si="5"/>
        <v>-12</v>
      </c>
      <c r="M33" s="4"/>
    </row>
    <row r="34" spans="1:13" hidden="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4"/>
    </row>
    <row r="35" spans="1:13" hidden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4"/>
    </row>
    <row r="36" spans="1:13" hidden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4"/>
    </row>
    <row r="37" spans="1:13" x14ac:dyDescent="0.25">
      <c r="A37" s="13"/>
      <c r="B37" s="13" t="s">
        <v>18</v>
      </c>
      <c r="C37" s="13"/>
      <c r="D37" s="13"/>
      <c r="E37" s="13"/>
      <c r="F37" s="13"/>
      <c r="G37" s="13"/>
      <c r="H37" s="13">
        <f>SUM(H29:H36)</f>
        <v>120</v>
      </c>
      <c r="I37" s="13"/>
      <c r="J37" s="13"/>
      <c r="K37" s="13">
        <f>SUM(K29:K36)</f>
        <v>108</v>
      </c>
      <c r="L37" s="13">
        <f>SUM(L29:L36)</f>
        <v>-12</v>
      </c>
      <c r="M37" s="4"/>
    </row>
  </sheetData>
  <mergeCells count="13">
    <mergeCell ref="A28:M28"/>
    <mergeCell ref="I2:K2"/>
    <mergeCell ref="L2:L3"/>
    <mergeCell ref="M2:M4"/>
    <mergeCell ref="A5:M5"/>
    <mergeCell ref="A6:M6"/>
    <mergeCell ref="A12:M12"/>
    <mergeCell ref="A2:A4"/>
    <mergeCell ref="B2:B4"/>
    <mergeCell ref="C2:C4"/>
    <mergeCell ref="D2:D4"/>
    <mergeCell ref="E2:E3"/>
    <mergeCell ref="F2:H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D0FE4-D74A-4C97-8DC7-060F58F99A9A}">
  <dimension ref="A1:M37"/>
  <sheetViews>
    <sheetView zoomScaleNormal="100" workbookViewId="0">
      <pane ySplit="4" topLeftCell="A5" activePane="bottomLeft" state="frozen"/>
      <selection pane="bottomLeft" activeCell="A28" sqref="A28:M28"/>
    </sheetView>
  </sheetViews>
  <sheetFormatPr defaultRowHeight="15" x14ac:dyDescent="0.25"/>
  <cols>
    <col min="1" max="1" width="9.140625" style="6"/>
    <col min="2" max="2" width="11.5703125" style="6" bestFit="1" customWidth="1"/>
    <col min="3" max="3" width="11.7109375" style="6" bestFit="1" customWidth="1"/>
    <col min="4" max="4" width="9.140625" style="6"/>
    <col min="5" max="5" width="10.42578125" style="6" bestFit="1" customWidth="1"/>
    <col min="6" max="12" width="9.140625" style="6"/>
    <col min="13" max="13" width="29" style="6" customWidth="1"/>
    <col min="14" max="16384" width="9.140625" style="6"/>
  </cols>
  <sheetData>
    <row r="1" spans="1:13" x14ac:dyDescent="0.25">
      <c r="M1" s="12">
        <v>46275</v>
      </c>
    </row>
    <row r="2" spans="1:13" x14ac:dyDescent="0.25">
      <c r="A2" s="40" t="s">
        <v>0</v>
      </c>
      <c r="B2" s="41" t="s">
        <v>1</v>
      </c>
      <c r="C2" s="42" t="s">
        <v>2</v>
      </c>
      <c r="D2" s="42" t="s">
        <v>3</v>
      </c>
      <c r="E2" s="41" t="s">
        <v>4</v>
      </c>
      <c r="F2" s="39" t="s">
        <v>19</v>
      </c>
      <c r="G2" s="39"/>
      <c r="H2" s="39"/>
      <c r="I2" s="39" t="s">
        <v>20</v>
      </c>
      <c r="J2" s="39"/>
      <c r="K2" s="39"/>
      <c r="L2" s="40" t="s">
        <v>10</v>
      </c>
      <c r="M2" s="40" t="s">
        <v>11</v>
      </c>
    </row>
    <row r="3" spans="1:13" ht="45" x14ac:dyDescent="0.25">
      <c r="A3" s="40"/>
      <c r="B3" s="41"/>
      <c r="C3" s="42"/>
      <c r="D3" s="42"/>
      <c r="E3" s="41"/>
      <c r="F3" s="14" t="s">
        <v>5</v>
      </c>
      <c r="G3" s="14" t="s">
        <v>6</v>
      </c>
      <c r="H3" s="14" t="s">
        <v>7</v>
      </c>
      <c r="I3" s="14" t="s">
        <v>8</v>
      </c>
      <c r="J3" s="14" t="s">
        <v>6</v>
      </c>
      <c r="K3" s="14" t="s">
        <v>9</v>
      </c>
      <c r="L3" s="40"/>
      <c r="M3" s="40"/>
    </row>
    <row r="4" spans="1:13" x14ac:dyDescent="0.25">
      <c r="A4" s="40"/>
      <c r="B4" s="41"/>
      <c r="C4" s="42"/>
      <c r="D4" s="42"/>
      <c r="E4" s="15" t="s">
        <v>12</v>
      </c>
      <c r="F4" s="14" t="s">
        <v>13</v>
      </c>
      <c r="G4" s="3" t="s">
        <v>14</v>
      </c>
      <c r="H4" s="14" t="s">
        <v>14</v>
      </c>
      <c r="I4" s="14" t="s">
        <v>13</v>
      </c>
      <c r="J4" s="3" t="s">
        <v>14</v>
      </c>
      <c r="K4" s="14" t="s">
        <v>14</v>
      </c>
      <c r="L4" s="14" t="s">
        <v>14</v>
      </c>
      <c r="M4" s="40"/>
    </row>
    <row r="5" spans="1:13" x14ac:dyDescent="0.25">
      <c r="A5" s="43" t="s">
        <v>15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</row>
    <row r="6" spans="1:13" x14ac:dyDescent="0.25">
      <c r="A6" s="38" t="s">
        <v>21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</row>
    <row r="7" spans="1:13" x14ac:dyDescent="0.25">
      <c r="A7" s="15">
        <v>1</v>
      </c>
      <c r="B7" s="15" t="s">
        <v>16</v>
      </c>
      <c r="C7" s="15" t="s">
        <v>17</v>
      </c>
      <c r="D7" s="19">
        <v>976</v>
      </c>
      <c r="E7" s="15">
        <v>32</v>
      </c>
      <c r="F7" s="15">
        <v>4</v>
      </c>
      <c r="G7" s="15">
        <v>12</v>
      </c>
      <c r="H7" s="15">
        <f>+G7*F7</f>
        <v>48</v>
      </c>
      <c r="I7" s="19">
        <v>3</v>
      </c>
      <c r="J7" s="15">
        <v>12</v>
      </c>
      <c r="K7" s="15">
        <f>+J7*I7</f>
        <v>36</v>
      </c>
      <c r="L7" s="15">
        <f>+K7-H7</f>
        <v>-12</v>
      </c>
      <c r="M7" s="4"/>
    </row>
    <row r="8" spans="1:13" x14ac:dyDescent="0.25">
      <c r="A8" s="15">
        <v>2</v>
      </c>
      <c r="B8" s="15" t="s">
        <v>16</v>
      </c>
      <c r="C8" s="15" t="s">
        <v>17</v>
      </c>
      <c r="D8" s="10">
        <v>274</v>
      </c>
      <c r="E8" s="15">
        <v>32</v>
      </c>
      <c r="F8" s="15">
        <v>4</v>
      </c>
      <c r="G8" s="15">
        <v>12</v>
      </c>
      <c r="H8" s="15">
        <f>+G8*F8</f>
        <v>48</v>
      </c>
      <c r="I8" s="10">
        <v>2</v>
      </c>
      <c r="J8" s="15">
        <v>12</v>
      </c>
      <c r="K8" s="15">
        <f>+J8*I8</f>
        <v>24</v>
      </c>
      <c r="L8" s="15">
        <f>+K8-H8</f>
        <v>-24</v>
      </c>
      <c r="M8" s="4"/>
    </row>
    <row r="9" spans="1:13" x14ac:dyDescent="0.25">
      <c r="A9" s="15">
        <v>3</v>
      </c>
      <c r="B9" s="15" t="s">
        <v>16</v>
      </c>
      <c r="C9" s="15" t="s">
        <v>17</v>
      </c>
      <c r="D9" s="15">
        <v>428</v>
      </c>
      <c r="E9" s="15">
        <v>32</v>
      </c>
      <c r="F9" s="15">
        <v>4</v>
      </c>
      <c r="G9" s="15">
        <v>12</v>
      </c>
      <c r="H9" s="15">
        <f>+G9*F9</f>
        <v>48</v>
      </c>
      <c r="I9" s="15">
        <v>4</v>
      </c>
      <c r="J9" s="15">
        <v>12</v>
      </c>
      <c r="K9" s="15">
        <f>+J9*I9</f>
        <v>48</v>
      </c>
      <c r="L9" s="15">
        <f>+K9-H9</f>
        <v>0</v>
      </c>
      <c r="M9" s="4"/>
    </row>
    <row r="10" spans="1:13" x14ac:dyDescent="0.25">
      <c r="A10" s="15">
        <v>4</v>
      </c>
      <c r="B10" s="15" t="s">
        <v>16</v>
      </c>
      <c r="C10" s="15" t="s">
        <v>17</v>
      </c>
      <c r="D10" s="10">
        <v>797</v>
      </c>
      <c r="E10" s="15">
        <v>32</v>
      </c>
      <c r="F10" s="15">
        <v>4</v>
      </c>
      <c r="G10" s="15">
        <v>12</v>
      </c>
      <c r="H10" s="15">
        <f>+G10*F10</f>
        <v>48</v>
      </c>
      <c r="I10" s="10">
        <v>2</v>
      </c>
      <c r="J10" s="15">
        <v>12</v>
      </c>
      <c r="K10" s="15">
        <f>+J10*I10</f>
        <v>24</v>
      </c>
      <c r="L10" s="15">
        <f>+K10-H10</f>
        <v>-24</v>
      </c>
      <c r="M10" s="4"/>
    </row>
    <row r="11" spans="1:13" x14ac:dyDescent="0.25">
      <c r="A11" s="13"/>
      <c r="B11" s="13" t="s">
        <v>18</v>
      </c>
      <c r="C11" s="13"/>
      <c r="D11" s="13"/>
      <c r="E11" s="13"/>
      <c r="F11" s="13"/>
      <c r="G11" s="13"/>
      <c r="H11" s="13">
        <f>SUM(H7:H10)</f>
        <v>192</v>
      </c>
      <c r="I11" s="13"/>
      <c r="J11" s="13"/>
      <c r="K11" s="13">
        <f>SUM(K7:K10)</f>
        <v>132</v>
      </c>
      <c r="L11" s="13">
        <f>SUM(L7:L10)</f>
        <v>-60</v>
      </c>
      <c r="M11" s="4"/>
    </row>
    <row r="12" spans="1:13" x14ac:dyDescent="0.25">
      <c r="A12" s="38" t="s">
        <v>28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</row>
    <row r="13" spans="1:13" x14ac:dyDescent="0.25">
      <c r="A13" s="15">
        <v>1</v>
      </c>
      <c r="B13" s="15" t="s">
        <v>16</v>
      </c>
      <c r="C13" s="15" t="s">
        <v>17</v>
      </c>
      <c r="D13" s="15">
        <v>368</v>
      </c>
      <c r="E13" s="15">
        <v>40</v>
      </c>
      <c r="F13" s="15">
        <v>3</v>
      </c>
      <c r="G13" s="15">
        <v>12</v>
      </c>
      <c r="H13" s="15">
        <f t="shared" ref="H13:H21" si="0">+G13*F13</f>
        <v>36</v>
      </c>
      <c r="I13" s="16">
        <v>3</v>
      </c>
      <c r="J13" s="15">
        <v>12</v>
      </c>
      <c r="K13" s="15">
        <f t="shared" ref="K13:K21" si="1">+J13*I13</f>
        <v>36</v>
      </c>
      <c r="L13" s="15">
        <f t="shared" ref="L13:L21" si="2">+K13-H13</f>
        <v>0</v>
      </c>
      <c r="M13" s="4"/>
    </row>
    <row r="14" spans="1:13" x14ac:dyDescent="0.25">
      <c r="A14" s="15">
        <v>2</v>
      </c>
      <c r="B14" s="15" t="s">
        <v>16</v>
      </c>
      <c r="C14" s="15" t="s">
        <v>17</v>
      </c>
      <c r="D14" s="15">
        <v>708</v>
      </c>
      <c r="E14" s="15">
        <v>40</v>
      </c>
      <c r="F14" s="15">
        <v>3</v>
      </c>
      <c r="G14" s="15">
        <v>12</v>
      </c>
      <c r="H14" s="15">
        <f t="shared" si="0"/>
        <v>36</v>
      </c>
      <c r="I14" s="15">
        <v>3</v>
      </c>
      <c r="J14" s="15">
        <v>12</v>
      </c>
      <c r="K14" s="15">
        <f t="shared" si="1"/>
        <v>36</v>
      </c>
      <c r="L14" s="15">
        <f t="shared" si="2"/>
        <v>0</v>
      </c>
      <c r="M14" s="4"/>
    </row>
    <row r="15" spans="1:13" x14ac:dyDescent="0.25">
      <c r="A15" s="15">
        <v>3</v>
      </c>
      <c r="B15" s="15" t="s">
        <v>16</v>
      </c>
      <c r="C15" s="15" t="s">
        <v>17</v>
      </c>
      <c r="D15" s="15">
        <v>675</v>
      </c>
      <c r="E15" s="15">
        <v>40</v>
      </c>
      <c r="F15" s="15">
        <v>3</v>
      </c>
      <c r="G15" s="15">
        <v>12</v>
      </c>
      <c r="H15" s="15">
        <f t="shared" si="0"/>
        <v>36</v>
      </c>
      <c r="I15" s="15">
        <v>3</v>
      </c>
      <c r="J15" s="15">
        <v>12</v>
      </c>
      <c r="K15" s="15">
        <f t="shared" si="1"/>
        <v>36</v>
      </c>
      <c r="L15" s="15">
        <f t="shared" si="2"/>
        <v>0</v>
      </c>
      <c r="M15" s="4"/>
    </row>
    <row r="16" spans="1:13" x14ac:dyDescent="0.25">
      <c r="A16" s="15">
        <v>4</v>
      </c>
      <c r="B16" s="15" t="s">
        <v>16</v>
      </c>
      <c r="C16" s="15" t="s">
        <v>17</v>
      </c>
      <c r="D16" s="19">
        <v>424</v>
      </c>
      <c r="E16" s="15">
        <v>40</v>
      </c>
      <c r="F16" s="15">
        <v>3</v>
      </c>
      <c r="G16" s="15">
        <v>12</v>
      </c>
      <c r="H16" s="15">
        <f t="shared" si="0"/>
        <v>36</v>
      </c>
      <c r="I16" s="18">
        <v>2</v>
      </c>
      <c r="J16" s="15">
        <v>12</v>
      </c>
      <c r="K16" s="15">
        <f t="shared" si="1"/>
        <v>24</v>
      </c>
      <c r="L16" s="15">
        <f t="shared" si="2"/>
        <v>-12</v>
      </c>
      <c r="M16" s="4"/>
    </row>
    <row r="17" spans="1:13" x14ac:dyDescent="0.25">
      <c r="A17" s="15">
        <v>5</v>
      </c>
      <c r="B17" s="15" t="s">
        <v>16</v>
      </c>
      <c r="C17" s="15" t="s">
        <v>17</v>
      </c>
      <c r="D17" s="15">
        <v>681</v>
      </c>
      <c r="E17" s="15">
        <v>40</v>
      </c>
      <c r="F17" s="15">
        <v>3</v>
      </c>
      <c r="G17" s="15">
        <v>12</v>
      </c>
      <c r="H17" s="15">
        <f t="shared" si="0"/>
        <v>36</v>
      </c>
      <c r="I17" s="16">
        <v>3</v>
      </c>
      <c r="J17" s="15">
        <v>12</v>
      </c>
      <c r="K17" s="15">
        <f t="shared" si="1"/>
        <v>36</v>
      </c>
      <c r="L17" s="15">
        <f t="shared" si="2"/>
        <v>0</v>
      </c>
      <c r="M17" s="4"/>
    </row>
    <row r="18" spans="1:13" x14ac:dyDescent="0.25">
      <c r="A18" s="15">
        <v>6</v>
      </c>
      <c r="B18" s="15" t="s">
        <v>16</v>
      </c>
      <c r="C18" s="15" t="s">
        <v>17</v>
      </c>
      <c r="D18" s="19">
        <v>525</v>
      </c>
      <c r="E18" s="15">
        <v>40</v>
      </c>
      <c r="F18" s="15">
        <v>3</v>
      </c>
      <c r="G18" s="15">
        <v>12</v>
      </c>
      <c r="H18" s="15">
        <f t="shared" si="0"/>
        <v>36</v>
      </c>
      <c r="I18" s="18">
        <v>2</v>
      </c>
      <c r="J18" s="15">
        <v>12</v>
      </c>
      <c r="K18" s="15">
        <f t="shared" si="1"/>
        <v>24</v>
      </c>
      <c r="L18" s="15">
        <f t="shared" si="2"/>
        <v>-12</v>
      </c>
      <c r="M18" s="4"/>
    </row>
    <row r="19" spans="1:13" x14ac:dyDescent="0.25">
      <c r="A19" s="15">
        <v>7</v>
      </c>
      <c r="B19" s="15" t="s">
        <v>16</v>
      </c>
      <c r="C19" s="15" t="s">
        <v>17</v>
      </c>
      <c r="D19" s="19">
        <v>445</v>
      </c>
      <c r="E19" s="15">
        <v>40</v>
      </c>
      <c r="F19" s="15">
        <v>3</v>
      </c>
      <c r="G19" s="15">
        <v>12</v>
      </c>
      <c r="H19" s="15">
        <f t="shared" si="0"/>
        <v>36</v>
      </c>
      <c r="I19" s="19">
        <v>2</v>
      </c>
      <c r="J19" s="15">
        <v>12</v>
      </c>
      <c r="K19" s="15">
        <f t="shared" si="1"/>
        <v>24</v>
      </c>
      <c r="L19" s="15">
        <f t="shared" si="2"/>
        <v>-12</v>
      </c>
      <c r="M19" s="4"/>
    </row>
    <row r="20" spans="1:13" x14ac:dyDescent="0.25">
      <c r="A20" s="15">
        <v>8</v>
      </c>
      <c r="B20" s="15" t="s">
        <v>16</v>
      </c>
      <c r="C20" s="15" t="s">
        <v>17</v>
      </c>
      <c r="D20" s="15">
        <v>506</v>
      </c>
      <c r="E20" s="15">
        <v>40</v>
      </c>
      <c r="F20" s="15">
        <v>3</v>
      </c>
      <c r="G20" s="15">
        <v>12</v>
      </c>
      <c r="H20" s="15">
        <f t="shared" si="0"/>
        <v>36</v>
      </c>
      <c r="I20" s="15">
        <v>3</v>
      </c>
      <c r="J20" s="15">
        <v>12</v>
      </c>
      <c r="K20" s="15">
        <f t="shared" si="1"/>
        <v>36</v>
      </c>
      <c r="L20" s="15">
        <f t="shared" si="2"/>
        <v>0</v>
      </c>
      <c r="M20" s="4"/>
    </row>
    <row r="21" spans="1:13" x14ac:dyDescent="0.25">
      <c r="A21" s="15">
        <v>9</v>
      </c>
      <c r="B21" s="15" t="s">
        <v>16</v>
      </c>
      <c r="C21" s="15" t="s">
        <v>17</v>
      </c>
      <c r="D21" s="10">
        <v>713</v>
      </c>
      <c r="E21" s="15">
        <v>40</v>
      </c>
      <c r="F21" s="15">
        <v>3</v>
      </c>
      <c r="G21" s="15">
        <v>12</v>
      </c>
      <c r="H21" s="15">
        <f t="shared" si="0"/>
        <v>36</v>
      </c>
      <c r="I21" s="10">
        <v>1</v>
      </c>
      <c r="J21" s="15">
        <v>12</v>
      </c>
      <c r="K21" s="15">
        <f t="shared" si="1"/>
        <v>12</v>
      </c>
      <c r="L21" s="15">
        <f t="shared" si="2"/>
        <v>-24</v>
      </c>
      <c r="M21" s="4"/>
    </row>
    <row r="22" spans="1:13" hidden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4"/>
    </row>
    <row r="23" spans="1:13" hidden="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4"/>
    </row>
    <row r="24" spans="1:13" hidden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4"/>
    </row>
    <row r="25" spans="1:13" hidden="1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4"/>
    </row>
    <row r="26" spans="1:13" hidden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4"/>
    </row>
    <row r="27" spans="1:13" x14ac:dyDescent="0.25">
      <c r="A27" s="13"/>
      <c r="B27" s="13" t="s">
        <v>18</v>
      </c>
      <c r="C27" s="13"/>
      <c r="D27" s="13"/>
      <c r="E27" s="13"/>
      <c r="F27" s="13"/>
      <c r="G27" s="13"/>
      <c r="H27" s="13">
        <f>SUM(H13:H26)</f>
        <v>324</v>
      </c>
      <c r="I27" s="13"/>
      <c r="J27" s="13"/>
      <c r="K27" s="13">
        <f>SUM(K13:K26)</f>
        <v>264</v>
      </c>
      <c r="L27" s="13">
        <f>SUM(L13:L26)</f>
        <v>-60</v>
      </c>
      <c r="M27" s="4"/>
    </row>
    <row r="28" spans="1:13" x14ac:dyDescent="0.25">
      <c r="A28" s="38" t="s">
        <v>27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 spans="1:13" x14ac:dyDescent="0.25">
      <c r="A29" s="15">
        <v>1</v>
      </c>
      <c r="B29" s="15" t="s">
        <v>24</v>
      </c>
      <c r="C29" s="15" t="s">
        <v>25</v>
      </c>
      <c r="D29" s="15">
        <v>771</v>
      </c>
      <c r="E29" s="15">
        <v>72</v>
      </c>
      <c r="F29" s="15">
        <v>2</v>
      </c>
      <c r="G29" s="15">
        <v>12</v>
      </c>
      <c r="H29" s="15">
        <f>+G29*F29</f>
        <v>24</v>
      </c>
      <c r="I29" s="15">
        <v>2</v>
      </c>
      <c r="J29" s="15">
        <v>12</v>
      </c>
      <c r="K29" s="15">
        <f>+J29*I29</f>
        <v>24</v>
      </c>
      <c r="L29" s="15">
        <f>+K29-H29</f>
        <v>0</v>
      </c>
      <c r="M29" s="4"/>
    </row>
    <row r="30" spans="1:13" x14ac:dyDescent="0.25">
      <c r="A30" s="15">
        <v>2</v>
      </c>
      <c r="B30" s="15" t="s">
        <v>24</v>
      </c>
      <c r="C30" s="15" t="s">
        <v>25</v>
      </c>
      <c r="D30" s="15">
        <v>912</v>
      </c>
      <c r="E30" s="15">
        <v>72</v>
      </c>
      <c r="F30" s="15">
        <v>2</v>
      </c>
      <c r="G30" s="15">
        <v>12</v>
      </c>
      <c r="H30" s="15">
        <f>+G30*F30</f>
        <v>24</v>
      </c>
      <c r="I30" s="15">
        <v>2</v>
      </c>
      <c r="J30" s="15">
        <v>12</v>
      </c>
      <c r="K30" s="15">
        <f>+J30*I30</f>
        <v>24</v>
      </c>
      <c r="L30" s="15">
        <f>+K30-H30</f>
        <v>0</v>
      </c>
      <c r="M30" s="4"/>
    </row>
    <row r="31" spans="1:13" x14ac:dyDescent="0.25">
      <c r="A31" s="15">
        <v>3</v>
      </c>
      <c r="B31" s="15" t="s">
        <v>24</v>
      </c>
      <c r="C31" s="15" t="s">
        <v>25</v>
      </c>
      <c r="D31" s="15">
        <v>235</v>
      </c>
      <c r="E31" s="15">
        <v>80</v>
      </c>
      <c r="F31" s="15">
        <v>2</v>
      </c>
      <c r="G31" s="15">
        <v>12</v>
      </c>
      <c r="H31" s="15">
        <f t="shared" ref="H31:H33" si="3">+G31*F31</f>
        <v>24</v>
      </c>
      <c r="I31" s="15">
        <v>2</v>
      </c>
      <c r="J31" s="15">
        <v>12</v>
      </c>
      <c r="K31" s="15">
        <f t="shared" ref="K31:K33" si="4">+J31*I31</f>
        <v>24</v>
      </c>
      <c r="L31" s="15">
        <f t="shared" ref="L31:L33" si="5">+K31-H31</f>
        <v>0</v>
      </c>
      <c r="M31" s="4"/>
    </row>
    <row r="32" spans="1:13" x14ac:dyDescent="0.25">
      <c r="A32" s="15">
        <v>4</v>
      </c>
      <c r="B32" s="15" t="s">
        <v>24</v>
      </c>
      <c r="C32" s="15" t="s">
        <v>25</v>
      </c>
      <c r="D32" s="15">
        <v>317</v>
      </c>
      <c r="E32" s="15">
        <v>80</v>
      </c>
      <c r="F32" s="15">
        <v>2</v>
      </c>
      <c r="G32" s="15">
        <v>12</v>
      </c>
      <c r="H32" s="15">
        <f t="shared" si="3"/>
        <v>24</v>
      </c>
      <c r="I32" s="15">
        <v>2</v>
      </c>
      <c r="J32" s="15">
        <v>12</v>
      </c>
      <c r="K32" s="15">
        <f t="shared" si="4"/>
        <v>24</v>
      </c>
      <c r="L32" s="15">
        <f t="shared" si="5"/>
        <v>0</v>
      </c>
      <c r="M32" s="4"/>
    </row>
    <row r="33" spans="1:13" x14ac:dyDescent="0.25">
      <c r="A33" s="15">
        <v>5</v>
      </c>
      <c r="B33" s="15" t="s">
        <v>24</v>
      </c>
      <c r="C33" s="15" t="s">
        <v>25</v>
      </c>
      <c r="D33" s="15">
        <v>354</v>
      </c>
      <c r="E33" s="15">
        <v>80</v>
      </c>
      <c r="F33" s="15">
        <v>2</v>
      </c>
      <c r="G33" s="15">
        <v>12</v>
      </c>
      <c r="H33" s="15">
        <f t="shared" si="3"/>
        <v>24</v>
      </c>
      <c r="I33" s="15">
        <v>1</v>
      </c>
      <c r="J33" s="15">
        <v>12</v>
      </c>
      <c r="K33" s="15">
        <f t="shared" si="4"/>
        <v>12</v>
      </c>
      <c r="L33" s="15">
        <f t="shared" si="5"/>
        <v>-12</v>
      </c>
      <c r="M33" s="4"/>
    </row>
    <row r="34" spans="1:13" hidden="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4"/>
    </row>
    <row r="35" spans="1:13" hidden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4"/>
    </row>
    <row r="36" spans="1:13" hidden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4"/>
    </row>
    <row r="37" spans="1:13" x14ac:dyDescent="0.25">
      <c r="A37" s="13"/>
      <c r="B37" s="13" t="s">
        <v>18</v>
      </c>
      <c r="C37" s="13"/>
      <c r="D37" s="13"/>
      <c r="E37" s="13"/>
      <c r="F37" s="13"/>
      <c r="G37" s="13"/>
      <c r="H37" s="13">
        <f>SUM(H29:H36)</f>
        <v>120</v>
      </c>
      <c r="I37" s="13"/>
      <c r="J37" s="13"/>
      <c r="K37" s="13">
        <f>SUM(K29:K36)</f>
        <v>108</v>
      </c>
      <c r="L37" s="13">
        <f>SUM(L29:L36)</f>
        <v>-12</v>
      </c>
      <c r="M37" s="4"/>
    </row>
  </sheetData>
  <mergeCells count="13">
    <mergeCell ref="A28:M28"/>
    <mergeCell ref="I2:K2"/>
    <mergeCell ref="L2:L3"/>
    <mergeCell ref="M2:M4"/>
    <mergeCell ref="A5:M5"/>
    <mergeCell ref="A6:M6"/>
    <mergeCell ref="A12:M12"/>
    <mergeCell ref="A2:A4"/>
    <mergeCell ref="B2:B4"/>
    <mergeCell ref="C2:C4"/>
    <mergeCell ref="D2:D4"/>
    <mergeCell ref="E2:E3"/>
    <mergeCell ref="F2:H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6DA3-3F46-42F6-AB8B-495870ECB19B}">
  <dimension ref="A1:M70"/>
  <sheetViews>
    <sheetView zoomScaleNormal="100" workbookViewId="0">
      <pane ySplit="4" topLeftCell="A5" activePane="bottomLeft" state="frozen"/>
      <selection pane="bottomLeft" activeCell="M20" sqref="M20"/>
    </sheetView>
  </sheetViews>
  <sheetFormatPr defaultRowHeight="15" x14ac:dyDescent="0.25"/>
  <cols>
    <col min="1" max="1" width="9.140625" style="6"/>
    <col min="2" max="2" width="11.5703125" style="6" bestFit="1" customWidth="1"/>
    <col min="3" max="3" width="11.7109375" style="6" bestFit="1" customWidth="1"/>
    <col min="4" max="4" width="9.140625" style="6"/>
    <col min="5" max="5" width="10.42578125" style="6" bestFit="1" customWidth="1"/>
    <col min="6" max="12" width="9.140625" style="6"/>
    <col min="13" max="13" width="29" style="6" customWidth="1"/>
    <col min="14" max="16384" width="9.140625" style="6"/>
  </cols>
  <sheetData>
    <row r="1" spans="1:13" x14ac:dyDescent="0.25">
      <c r="M1" s="12">
        <v>46278</v>
      </c>
    </row>
    <row r="2" spans="1:13" x14ac:dyDescent="0.25">
      <c r="A2" s="40" t="s">
        <v>0</v>
      </c>
      <c r="B2" s="41" t="s">
        <v>1</v>
      </c>
      <c r="C2" s="42" t="s">
        <v>2</v>
      </c>
      <c r="D2" s="42" t="s">
        <v>3</v>
      </c>
      <c r="E2" s="41" t="s">
        <v>4</v>
      </c>
      <c r="F2" s="39" t="s">
        <v>19</v>
      </c>
      <c r="G2" s="39"/>
      <c r="H2" s="39"/>
      <c r="I2" s="39" t="s">
        <v>20</v>
      </c>
      <c r="J2" s="39"/>
      <c r="K2" s="39"/>
      <c r="L2" s="40" t="s">
        <v>10</v>
      </c>
      <c r="M2" s="40" t="s">
        <v>11</v>
      </c>
    </row>
    <row r="3" spans="1:13" ht="45" x14ac:dyDescent="0.25">
      <c r="A3" s="40"/>
      <c r="B3" s="41"/>
      <c r="C3" s="42"/>
      <c r="D3" s="42"/>
      <c r="E3" s="41"/>
      <c r="F3" s="14" t="s">
        <v>5</v>
      </c>
      <c r="G3" s="14" t="s">
        <v>6</v>
      </c>
      <c r="H3" s="14" t="s">
        <v>7</v>
      </c>
      <c r="I3" s="14" t="s">
        <v>8</v>
      </c>
      <c r="J3" s="14" t="s">
        <v>6</v>
      </c>
      <c r="K3" s="14" t="s">
        <v>9</v>
      </c>
      <c r="L3" s="40"/>
      <c r="M3" s="40"/>
    </row>
    <row r="4" spans="1:13" x14ac:dyDescent="0.25">
      <c r="A4" s="40"/>
      <c r="B4" s="41"/>
      <c r="C4" s="42"/>
      <c r="D4" s="42"/>
      <c r="E4" s="15" t="s">
        <v>12</v>
      </c>
      <c r="F4" s="14" t="s">
        <v>13</v>
      </c>
      <c r="G4" s="3" t="s">
        <v>14</v>
      </c>
      <c r="H4" s="14" t="s">
        <v>14</v>
      </c>
      <c r="I4" s="14" t="s">
        <v>13</v>
      </c>
      <c r="J4" s="3" t="s">
        <v>14</v>
      </c>
      <c r="K4" s="14" t="s">
        <v>14</v>
      </c>
      <c r="L4" s="14" t="s">
        <v>14</v>
      </c>
      <c r="M4" s="40"/>
    </row>
    <row r="5" spans="1:13" x14ac:dyDescent="0.25">
      <c r="A5" s="43" t="s">
        <v>15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</row>
    <row r="6" spans="1:13" x14ac:dyDescent="0.25">
      <c r="A6" s="38" t="s">
        <v>21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</row>
    <row r="7" spans="1:13" x14ac:dyDescent="0.25">
      <c r="A7" s="15">
        <v>1</v>
      </c>
      <c r="B7" s="15" t="s">
        <v>16</v>
      </c>
      <c r="C7" s="15" t="s">
        <v>17</v>
      </c>
      <c r="D7" s="19">
        <v>976</v>
      </c>
      <c r="E7" s="15">
        <v>32</v>
      </c>
      <c r="F7" s="15">
        <v>4</v>
      </c>
      <c r="G7" s="15">
        <v>12</v>
      </c>
      <c r="H7" s="15">
        <f>+G7*F7</f>
        <v>48</v>
      </c>
      <c r="I7" s="19">
        <v>3</v>
      </c>
      <c r="J7" s="15">
        <v>12</v>
      </c>
      <c r="K7" s="15">
        <f>+J7*I7</f>
        <v>36</v>
      </c>
      <c r="L7" s="15">
        <f>+K7-H7</f>
        <v>-12</v>
      </c>
      <c r="M7" s="4"/>
    </row>
    <row r="8" spans="1:13" x14ac:dyDescent="0.25">
      <c r="A8" s="15">
        <v>2</v>
      </c>
      <c r="B8" s="15" t="s">
        <v>16</v>
      </c>
      <c r="C8" s="15" t="s">
        <v>17</v>
      </c>
      <c r="D8" s="10">
        <v>274</v>
      </c>
      <c r="E8" s="15">
        <v>32</v>
      </c>
      <c r="F8" s="15">
        <v>4</v>
      </c>
      <c r="G8" s="15">
        <v>12</v>
      </c>
      <c r="H8" s="15">
        <f>+G8*F8</f>
        <v>48</v>
      </c>
      <c r="I8" s="10">
        <v>2</v>
      </c>
      <c r="J8" s="15">
        <v>12</v>
      </c>
      <c r="K8" s="15">
        <f>+J8*I8</f>
        <v>24</v>
      </c>
      <c r="L8" s="15">
        <f>+K8-H8</f>
        <v>-24</v>
      </c>
      <c r="M8" s="4"/>
    </row>
    <row r="9" spans="1:13" x14ac:dyDescent="0.25">
      <c r="A9" s="15">
        <v>3</v>
      </c>
      <c r="B9" s="15" t="s">
        <v>16</v>
      </c>
      <c r="C9" s="15" t="s">
        <v>17</v>
      </c>
      <c r="D9" s="15">
        <v>428</v>
      </c>
      <c r="E9" s="15">
        <v>32</v>
      </c>
      <c r="F9" s="15">
        <v>4</v>
      </c>
      <c r="G9" s="15">
        <v>12</v>
      </c>
      <c r="H9" s="15">
        <f>+G9*F9</f>
        <v>48</v>
      </c>
      <c r="I9" s="15">
        <v>4</v>
      </c>
      <c r="J9" s="15">
        <v>12</v>
      </c>
      <c r="K9" s="15">
        <f>+J9*I9</f>
        <v>48</v>
      </c>
      <c r="L9" s="15">
        <f>+K9-H9</f>
        <v>0</v>
      </c>
      <c r="M9" s="4"/>
    </row>
    <row r="10" spans="1:13" x14ac:dyDescent="0.25">
      <c r="A10" s="15">
        <v>4</v>
      </c>
      <c r="B10" s="15" t="s">
        <v>16</v>
      </c>
      <c r="C10" s="15" t="s">
        <v>17</v>
      </c>
      <c r="D10" s="10">
        <v>797</v>
      </c>
      <c r="E10" s="15">
        <v>32</v>
      </c>
      <c r="F10" s="15">
        <v>4</v>
      </c>
      <c r="G10" s="15">
        <v>12</v>
      </c>
      <c r="H10" s="15">
        <f>+G10*F10</f>
        <v>48</v>
      </c>
      <c r="I10" s="10">
        <v>2</v>
      </c>
      <c r="J10" s="15">
        <v>12</v>
      </c>
      <c r="K10" s="15">
        <f>+J10*I10</f>
        <v>24</v>
      </c>
      <c r="L10" s="15">
        <f>+K10-H10</f>
        <v>-24</v>
      </c>
      <c r="M10" s="4"/>
    </row>
    <row r="11" spans="1:13" x14ac:dyDescent="0.25">
      <c r="A11" s="13"/>
      <c r="B11" s="13" t="s">
        <v>18</v>
      </c>
      <c r="C11" s="13"/>
      <c r="D11" s="13"/>
      <c r="E11" s="13"/>
      <c r="F11" s="13"/>
      <c r="G11" s="13"/>
      <c r="H11" s="13">
        <f>SUM(H7:H10)</f>
        <v>192</v>
      </c>
      <c r="I11" s="13"/>
      <c r="J11" s="13"/>
      <c r="K11" s="13">
        <f>SUM(K7:K10)</f>
        <v>132</v>
      </c>
      <c r="L11" s="13">
        <f>SUM(L7:L10)</f>
        <v>-60</v>
      </c>
      <c r="M11" s="4"/>
    </row>
    <row r="12" spans="1:13" x14ac:dyDescent="0.25">
      <c r="A12" s="38" t="s">
        <v>28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</row>
    <row r="13" spans="1:13" x14ac:dyDescent="0.25">
      <c r="A13" s="15">
        <v>1</v>
      </c>
      <c r="B13" s="15" t="s">
        <v>16</v>
      </c>
      <c r="C13" s="15" t="s">
        <v>17</v>
      </c>
      <c r="D13" s="15">
        <v>368</v>
      </c>
      <c r="E13" s="15">
        <v>40</v>
      </c>
      <c r="F13" s="15">
        <v>3</v>
      </c>
      <c r="G13" s="15">
        <v>12</v>
      </c>
      <c r="H13" s="15">
        <f t="shared" ref="H13:H21" si="0">+G13*F13</f>
        <v>36</v>
      </c>
      <c r="I13" s="16">
        <v>3</v>
      </c>
      <c r="J13" s="15">
        <v>12</v>
      </c>
      <c r="K13" s="15">
        <f t="shared" ref="K13:K21" si="1">+J13*I13</f>
        <v>36</v>
      </c>
      <c r="L13" s="15">
        <f t="shared" ref="L13:L21" si="2">+K13-H13</f>
        <v>0</v>
      </c>
      <c r="M13" s="4"/>
    </row>
    <row r="14" spans="1:13" x14ac:dyDescent="0.25">
      <c r="A14" s="15">
        <v>2</v>
      </c>
      <c r="B14" s="15" t="s">
        <v>16</v>
      </c>
      <c r="C14" s="15" t="s">
        <v>17</v>
      </c>
      <c r="D14" s="15">
        <v>708</v>
      </c>
      <c r="E14" s="15">
        <v>40</v>
      </c>
      <c r="F14" s="15">
        <v>3</v>
      </c>
      <c r="G14" s="15">
        <v>12</v>
      </c>
      <c r="H14" s="15">
        <f t="shared" si="0"/>
        <v>36</v>
      </c>
      <c r="I14" s="15">
        <v>3</v>
      </c>
      <c r="J14" s="15">
        <v>12</v>
      </c>
      <c r="K14" s="15">
        <f t="shared" si="1"/>
        <v>36</v>
      </c>
      <c r="L14" s="15">
        <f t="shared" si="2"/>
        <v>0</v>
      </c>
      <c r="M14" s="4"/>
    </row>
    <row r="15" spans="1:13" x14ac:dyDescent="0.25">
      <c r="A15" s="15">
        <v>3</v>
      </c>
      <c r="B15" s="15" t="s">
        <v>16</v>
      </c>
      <c r="C15" s="15" t="s">
        <v>17</v>
      </c>
      <c r="D15" s="15">
        <v>675</v>
      </c>
      <c r="E15" s="15">
        <v>40</v>
      </c>
      <c r="F15" s="15">
        <v>3</v>
      </c>
      <c r="G15" s="15">
        <v>12</v>
      </c>
      <c r="H15" s="15">
        <f t="shared" si="0"/>
        <v>36</v>
      </c>
      <c r="I15" s="15">
        <v>3</v>
      </c>
      <c r="J15" s="15">
        <v>12</v>
      </c>
      <c r="K15" s="15">
        <f t="shared" si="1"/>
        <v>36</v>
      </c>
      <c r="L15" s="15">
        <f t="shared" si="2"/>
        <v>0</v>
      </c>
      <c r="M15" s="4"/>
    </row>
    <row r="16" spans="1:13" x14ac:dyDescent="0.25">
      <c r="A16" s="15">
        <v>4</v>
      </c>
      <c r="B16" s="15" t="s">
        <v>16</v>
      </c>
      <c r="C16" s="15" t="s">
        <v>17</v>
      </c>
      <c r="D16" s="19">
        <v>424</v>
      </c>
      <c r="E16" s="15">
        <v>40</v>
      </c>
      <c r="F16" s="15">
        <v>3</v>
      </c>
      <c r="G16" s="15">
        <v>12</v>
      </c>
      <c r="H16" s="15">
        <f t="shared" si="0"/>
        <v>36</v>
      </c>
      <c r="I16" s="18">
        <v>2</v>
      </c>
      <c r="J16" s="15">
        <v>12</v>
      </c>
      <c r="K16" s="15">
        <f t="shared" si="1"/>
        <v>24</v>
      </c>
      <c r="L16" s="15">
        <f t="shared" si="2"/>
        <v>-12</v>
      </c>
      <c r="M16" s="4"/>
    </row>
    <row r="17" spans="1:13" x14ac:dyDescent="0.25">
      <c r="A17" s="15">
        <v>5</v>
      </c>
      <c r="B17" s="15" t="s">
        <v>16</v>
      </c>
      <c r="C17" s="15" t="s">
        <v>17</v>
      </c>
      <c r="D17" s="15">
        <v>681</v>
      </c>
      <c r="E17" s="15">
        <v>40</v>
      </c>
      <c r="F17" s="15">
        <v>3</v>
      </c>
      <c r="G17" s="15">
        <v>12</v>
      </c>
      <c r="H17" s="15">
        <f t="shared" si="0"/>
        <v>36</v>
      </c>
      <c r="I17" s="16">
        <v>3</v>
      </c>
      <c r="J17" s="15">
        <v>12</v>
      </c>
      <c r="K17" s="15">
        <f t="shared" si="1"/>
        <v>36</v>
      </c>
      <c r="L17" s="15">
        <f t="shared" si="2"/>
        <v>0</v>
      </c>
      <c r="M17" s="4"/>
    </row>
    <row r="18" spans="1:13" x14ac:dyDescent="0.25">
      <c r="A18" s="15">
        <v>6</v>
      </c>
      <c r="B18" s="15" t="s">
        <v>16</v>
      </c>
      <c r="C18" s="15" t="s">
        <v>17</v>
      </c>
      <c r="D18" s="19">
        <v>525</v>
      </c>
      <c r="E18" s="15">
        <v>40</v>
      </c>
      <c r="F18" s="15">
        <v>3</v>
      </c>
      <c r="G18" s="15">
        <v>12</v>
      </c>
      <c r="H18" s="15">
        <f t="shared" si="0"/>
        <v>36</v>
      </c>
      <c r="I18" s="18">
        <v>2</v>
      </c>
      <c r="J18" s="15">
        <v>12</v>
      </c>
      <c r="K18" s="15">
        <f t="shared" si="1"/>
        <v>24</v>
      </c>
      <c r="L18" s="15">
        <f t="shared" si="2"/>
        <v>-12</v>
      </c>
      <c r="M18" s="4"/>
    </row>
    <row r="19" spans="1:13" x14ac:dyDescent="0.25">
      <c r="A19" s="15">
        <v>7</v>
      </c>
      <c r="B19" s="15" t="s">
        <v>16</v>
      </c>
      <c r="C19" s="15" t="s">
        <v>17</v>
      </c>
      <c r="D19" s="19">
        <v>445</v>
      </c>
      <c r="E19" s="15">
        <v>40</v>
      </c>
      <c r="F19" s="15">
        <v>3</v>
      </c>
      <c r="G19" s="15">
        <v>12</v>
      </c>
      <c r="H19" s="15">
        <f t="shared" si="0"/>
        <v>36</v>
      </c>
      <c r="I19" s="19">
        <v>2</v>
      </c>
      <c r="J19" s="15">
        <v>12</v>
      </c>
      <c r="K19" s="15">
        <f t="shared" si="1"/>
        <v>24</v>
      </c>
      <c r="L19" s="15">
        <f t="shared" si="2"/>
        <v>-12</v>
      </c>
      <c r="M19" s="4"/>
    </row>
    <row r="20" spans="1:13" x14ac:dyDescent="0.25">
      <c r="A20" s="15">
        <v>8</v>
      </c>
      <c r="B20" s="15" t="s">
        <v>16</v>
      </c>
      <c r="C20" s="15" t="s">
        <v>17</v>
      </c>
      <c r="D20" s="15">
        <v>506</v>
      </c>
      <c r="E20" s="15">
        <v>40</v>
      </c>
      <c r="F20" s="15">
        <v>3</v>
      </c>
      <c r="G20" s="15">
        <v>12</v>
      </c>
      <c r="H20" s="15">
        <f t="shared" si="0"/>
        <v>36</v>
      </c>
      <c r="I20" s="15">
        <v>3</v>
      </c>
      <c r="J20" s="15">
        <v>12</v>
      </c>
      <c r="K20" s="15">
        <f t="shared" si="1"/>
        <v>36</v>
      </c>
      <c r="L20" s="15">
        <f t="shared" si="2"/>
        <v>0</v>
      </c>
      <c r="M20" s="4"/>
    </row>
    <row r="21" spans="1:13" x14ac:dyDescent="0.25">
      <c r="A21" s="15">
        <v>9</v>
      </c>
      <c r="B21" s="15" t="s">
        <v>16</v>
      </c>
      <c r="C21" s="15" t="s">
        <v>17</v>
      </c>
      <c r="D21" s="10">
        <v>713</v>
      </c>
      <c r="E21" s="15">
        <v>40</v>
      </c>
      <c r="F21" s="15">
        <v>3</v>
      </c>
      <c r="G21" s="15">
        <v>12</v>
      </c>
      <c r="H21" s="15">
        <f t="shared" si="0"/>
        <v>36</v>
      </c>
      <c r="I21" s="10">
        <v>1</v>
      </c>
      <c r="J21" s="15">
        <v>12</v>
      </c>
      <c r="K21" s="15">
        <f t="shared" si="1"/>
        <v>12</v>
      </c>
      <c r="L21" s="15">
        <f t="shared" si="2"/>
        <v>-24</v>
      </c>
      <c r="M21" s="4"/>
    </row>
    <row r="22" spans="1:13" hidden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4"/>
    </row>
    <row r="23" spans="1:13" hidden="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4"/>
    </row>
    <row r="24" spans="1:13" hidden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4"/>
    </row>
    <row r="25" spans="1:13" hidden="1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4"/>
    </row>
    <row r="26" spans="1:13" hidden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4"/>
    </row>
    <row r="27" spans="1:13" x14ac:dyDescent="0.25">
      <c r="A27" s="13"/>
      <c r="B27" s="13" t="s">
        <v>18</v>
      </c>
      <c r="C27" s="13"/>
      <c r="D27" s="13"/>
      <c r="E27" s="13"/>
      <c r="F27" s="13"/>
      <c r="G27" s="13"/>
      <c r="H27" s="13">
        <f>SUM(H13:H26)</f>
        <v>324</v>
      </c>
      <c r="I27" s="13"/>
      <c r="J27" s="13"/>
      <c r="K27" s="13">
        <f>SUM(K13:K26)</f>
        <v>264</v>
      </c>
      <c r="L27" s="13">
        <f>SUM(L13:L26)</f>
        <v>-60</v>
      </c>
      <c r="M27" s="4"/>
    </row>
    <row r="28" spans="1:13" x14ac:dyDescent="0.25">
      <c r="A28" s="38" t="s">
        <v>27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 spans="1:13" x14ac:dyDescent="0.25">
      <c r="A29" s="15">
        <v>1</v>
      </c>
      <c r="B29" s="15" t="s">
        <v>29</v>
      </c>
      <c r="C29" s="15" t="s">
        <v>25</v>
      </c>
      <c r="D29" s="15">
        <v>771</v>
      </c>
      <c r="E29" s="15">
        <v>72</v>
      </c>
      <c r="F29" s="15">
        <v>2</v>
      </c>
      <c r="G29" s="15">
        <v>12</v>
      </c>
      <c r="H29" s="15">
        <f>+G29*F29</f>
        <v>24</v>
      </c>
      <c r="I29" s="15">
        <v>2</v>
      </c>
      <c r="J29" s="15">
        <v>12</v>
      </c>
      <c r="K29" s="15">
        <f>+J29*I29</f>
        <v>24</v>
      </c>
      <c r="L29" s="15">
        <f>+K29-H29</f>
        <v>0</v>
      </c>
      <c r="M29" s="4"/>
    </row>
    <row r="30" spans="1:13" x14ac:dyDescent="0.25">
      <c r="A30" s="15">
        <v>2</v>
      </c>
      <c r="B30" s="15" t="s">
        <v>24</v>
      </c>
      <c r="C30" s="15" t="s">
        <v>25</v>
      </c>
      <c r="D30" s="15">
        <v>912</v>
      </c>
      <c r="E30" s="15">
        <v>72</v>
      </c>
      <c r="F30" s="15">
        <v>2</v>
      </c>
      <c r="G30" s="15">
        <v>12</v>
      </c>
      <c r="H30" s="15">
        <f>+G30*F30</f>
        <v>24</v>
      </c>
      <c r="I30" s="15">
        <v>2</v>
      </c>
      <c r="J30" s="15">
        <v>12</v>
      </c>
      <c r="K30" s="15">
        <f>+J30*I30</f>
        <v>24</v>
      </c>
      <c r="L30" s="15">
        <f>+K30-H30</f>
        <v>0</v>
      </c>
      <c r="M30" s="4"/>
    </row>
    <row r="31" spans="1:13" x14ac:dyDescent="0.25">
      <c r="A31" s="15">
        <v>3</v>
      </c>
      <c r="B31" s="15" t="s">
        <v>24</v>
      </c>
      <c r="C31" s="15" t="s">
        <v>25</v>
      </c>
      <c r="D31" s="15">
        <v>235</v>
      </c>
      <c r="E31" s="15">
        <v>80</v>
      </c>
      <c r="F31" s="15">
        <v>2</v>
      </c>
      <c r="G31" s="15">
        <v>12</v>
      </c>
      <c r="H31" s="15">
        <f t="shared" ref="H31:H33" si="3">+G31*F31</f>
        <v>24</v>
      </c>
      <c r="I31" s="15">
        <v>2</v>
      </c>
      <c r="J31" s="15">
        <v>12</v>
      </c>
      <c r="K31" s="15">
        <f t="shared" ref="K31:K33" si="4">+J31*I31</f>
        <v>24</v>
      </c>
      <c r="L31" s="15">
        <f t="shared" ref="L31:L33" si="5">+K31-H31</f>
        <v>0</v>
      </c>
      <c r="M31" s="4"/>
    </row>
    <row r="32" spans="1:13" x14ac:dyDescent="0.25">
      <c r="A32" s="15">
        <v>4</v>
      </c>
      <c r="B32" s="15" t="s">
        <v>24</v>
      </c>
      <c r="C32" s="15" t="s">
        <v>25</v>
      </c>
      <c r="D32" s="15">
        <v>317</v>
      </c>
      <c r="E32" s="15">
        <v>80</v>
      </c>
      <c r="F32" s="15">
        <v>2</v>
      </c>
      <c r="G32" s="15">
        <v>12</v>
      </c>
      <c r="H32" s="15">
        <f t="shared" si="3"/>
        <v>24</v>
      </c>
      <c r="I32" s="15">
        <v>2</v>
      </c>
      <c r="J32" s="15">
        <v>12</v>
      </c>
      <c r="K32" s="15">
        <f t="shared" si="4"/>
        <v>24</v>
      </c>
      <c r="L32" s="15">
        <f t="shared" si="5"/>
        <v>0</v>
      </c>
      <c r="M32" s="4"/>
    </row>
    <row r="33" spans="1:13" x14ac:dyDescent="0.25">
      <c r="A33" s="15">
        <v>5</v>
      </c>
      <c r="B33" s="15" t="s">
        <v>24</v>
      </c>
      <c r="C33" s="15" t="s">
        <v>25</v>
      </c>
      <c r="D33" s="15">
        <v>354</v>
      </c>
      <c r="E33" s="15">
        <v>80</v>
      </c>
      <c r="F33" s="15">
        <v>2</v>
      </c>
      <c r="G33" s="15">
        <v>12</v>
      </c>
      <c r="H33" s="15">
        <f t="shared" si="3"/>
        <v>24</v>
      </c>
      <c r="I33" s="15">
        <v>1</v>
      </c>
      <c r="J33" s="15">
        <v>12</v>
      </c>
      <c r="K33" s="15">
        <f t="shared" si="4"/>
        <v>12</v>
      </c>
      <c r="L33" s="15">
        <f t="shared" si="5"/>
        <v>-12</v>
      </c>
      <c r="M33" s="4"/>
    </row>
    <row r="34" spans="1:13" hidden="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4"/>
    </row>
    <row r="35" spans="1:13" hidden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4"/>
    </row>
    <row r="36" spans="1:13" hidden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4"/>
    </row>
    <row r="37" spans="1:13" x14ac:dyDescent="0.25">
      <c r="A37" s="13"/>
      <c r="B37" s="13" t="s">
        <v>18</v>
      </c>
      <c r="C37" s="13"/>
      <c r="D37" s="13"/>
      <c r="E37" s="13"/>
      <c r="F37" s="13"/>
      <c r="G37" s="13"/>
      <c r="H37" s="13">
        <f>SUM(H29:H36)</f>
        <v>120</v>
      </c>
      <c r="I37" s="13"/>
      <c r="J37" s="13"/>
      <c r="K37" s="13">
        <f>SUM(K29:K36)</f>
        <v>108</v>
      </c>
      <c r="L37" s="13">
        <f>SUM(L29:L36)</f>
        <v>-12</v>
      </c>
      <c r="M37" s="4"/>
    </row>
    <row r="38" spans="1:13" x14ac:dyDescent="0.25">
      <c r="A38" s="43" t="s">
        <v>31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5"/>
    </row>
    <row r="39" spans="1:13" x14ac:dyDescent="0.25">
      <c r="A39" s="38" t="s">
        <v>21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1:13" x14ac:dyDescent="0.25">
      <c r="A40" s="15">
        <v>1</v>
      </c>
      <c r="B40" s="15" t="s">
        <v>16</v>
      </c>
      <c r="C40" s="15" t="s">
        <v>17</v>
      </c>
      <c r="D40" s="19">
        <v>976</v>
      </c>
      <c r="E40" s="15">
        <v>32</v>
      </c>
      <c r="F40" s="15">
        <v>4</v>
      </c>
      <c r="G40" s="15">
        <v>12</v>
      </c>
      <c r="H40" s="15">
        <f>+G40*F40</f>
        <v>48</v>
      </c>
      <c r="I40" s="19">
        <v>3</v>
      </c>
      <c r="J40" s="15">
        <v>12</v>
      </c>
      <c r="K40" s="15">
        <f>+J40*I40</f>
        <v>36</v>
      </c>
      <c r="L40" s="15">
        <f>+K40-H40</f>
        <v>-12</v>
      </c>
      <c r="M40" s="4"/>
    </row>
    <row r="41" spans="1:13" x14ac:dyDescent="0.25">
      <c r="A41" s="15">
        <v>2</v>
      </c>
      <c r="B41" s="15" t="s">
        <v>16</v>
      </c>
      <c r="C41" s="15" t="s">
        <v>17</v>
      </c>
      <c r="D41" s="10">
        <v>274</v>
      </c>
      <c r="E41" s="15">
        <v>32</v>
      </c>
      <c r="F41" s="15">
        <v>4</v>
      </c>
      <c r="G41" s="15">
        <v>12</v>
      </c>
      <c r="H41" s="15">
        <f>+G41*F41</f>
        <v>48</v>
      </c>
      <c r="I41" s="10">
        <v>2</v>
      </c>
      <c r="J41" s="15">
        <v>12</v>
      </c>
      <c r="K41" s="15">
        <f>+J41*I41</f>
        <v>24</v>
      </c>
      <c r="L41" s="15">
        <f>+K41-H41</f>
        <v>-24</v>
      </c>
      <c r="M41" s="4"/>
    </row>
    <row r="42" spans="1:13" x14ac:dyDescent="0.25">
      <c r="A42" s="15">
        <v>3</v>
      </c>
      <c r="B42" s="15" t="s">
        <v>16</v>
      </c>
      <c r="C42" s="15" t="s">
        <v>17</v>
      </c>
      <c r="D42" s="15">
        <v>428</v>
      </c>
      <c r="E42" s="15">
        <v>32</v>
      </c>
      <c r="F42" s="15">
        <v>4</v>
      </c>
      <c r="G42" s="15">
        <v>12</v>
      </c>
      <c r="H42" s="15">
        <f>+G42*F42</f>
        <v>48</v>
      </c>
      <c r="I42" s="15">
        <v>4</v>
      </c>
      <c r="J42" s="15">
        <v>12</v>
      </c>
      <c r="K42" s="15">
        <f>+J42*I42</f>
        <v>48</v>
      </c>
      <c r="L42" s="15">
        <f>+K42-H42</f>
        <v>0</v>
      </c>
      <c r="M42" s="4"/>
    </row>
    <row r="43" spans="1:13" x14ac:dyDescent="0.25">
      <c r="A43" s="15">
        <v>4</v>
      </c>
      <c r="B43" s="15" t="s">
        <v>16</v>
      </c>
      <c r="C43" s="15" t="s">
        <v>17</v>
      </c>
      <c r="D43" s="10">
        <v>797</v>
      </c>
      <c r="E43" s="15">
        <v>32</v>
      </c>
      <c r="F43" s="15">
        <v>4</v>
      </c>
      <c r="G43" s="15">
        <v>12</v>
      </c>
      <c r="H43" s="15">
        <f>+G43*F43</f>
        <v>48</v>
      </c>
      <c r="I43" s="10">
        <v>2</v>
      </c>
      <c r="J43" s="15">
        <v>12</v>
      </c>
      <c r="K43" s="15">
        <f>+J43*I43</f>
        <v>24</v>
      </c>
      <c r="L43" s="15">
        <f>+K43-H43</f>
        <v>-24</v>
      </c>
      <c r="M43" s="4"/>
    </row>
    <row r="44" spans="1:13" x14ac:dyDescent="0.25">
      <c r="A44" s="13"/>
      <c r="B44" s="13" t="s">
        <v>18</v>
      </c>
      <c r="C44" s="13"/>
      <c r="D44" s="13"/>
      <c r="E44" s="13"/>
      <c r="F44" s="13"/>
      <c r="G44" s="13"/>
      <c r="H44" s="13">
        <f>SUM(H40:H43)</f>
        <v>192</v>
      </c>
      <c r="I44" s="13"/>
      <c r="J44" s="13"/>
      <c r="K44" s="13">
        <f>SUM(K40:K43)</f>
        <v>132</v>
      </c>
      <c r="L44" s="13">
        <f>SUM(L40:L43)</f>
        <v>-60</v>
      </c>
      <c r="M44" s="4"/>
    </row>
    <row r="45" spans="1:13" x14ac:dyDescent="0.25">
      <c r="A45" s="38" t="s">
        <v>28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</row>
    <row r="46" spans="1:13" x14ac:dyDescent="0.25">
      <c r="A46" s="15">
        <v>1</v>
      </c>
      <c r="B46" s="15" t="s">
        <v>16</v>
      </c>
      <c r="C46" s="15" t="s">
        <v>17</v>
      </c>
      <c r="D46" s="15">
        <v>368</v>
      </c>
      <c r="E46" s="15">
        <v>40</v>
      </c>
      <c r="F46" s="15">
        <v>3</v>
      </c>
      <c r="G46" s="15">
        <v>12</v>
      </c>
      <c r="H46" s="15">
        <f t="shared" ref="H46:H54" si="6">+G46*F46</f>
        <v>36</v>
      </c>
      <c r="I46" s="16">
        <v>3</v>
      </c>
      <c r="J46" s="15">
        <v>12</v>
      </c>
      <c r="K46" s="15">
        <f t="shared" ref="K46:K54" si="7">+J46*I46</f>
        <v>36</v>
      </c>
      <c r="L46" s="15">
        <f t="shared" ref="L46:L54" si="8">+K46-H46</f>
        <v>0</v>
      </c>
      <c r="M46" s="4"/>
    </row>
    <row r="47" spans="1:13" x14ac:dyDescent="0.25">
      <c r="A47" s="15">
        <v>2</v>
      </c>
      <c r="B47" s="15" t="s">
        <v>16</v>
      </c>
      <c r="C47" s="15" t="s">
        <v>17</v>
      </c>
      <c r="D47" s="15">
        <v>708</v>
      </c>
      <c r="E47" s="15">
        <v>40</v>
      </c>
      <c r="F47" s="15">
        <v>3</v>
      </c>
      <c r="G47" s="15">
        <v>12</v>
      </c>
      <c r="H47" s="15">
        <f t="shared" si="6"/>
        <v>36</v>
      </c>
      <c r="I47" s="15">
        <v>3</v>
      </c>
      <c r="J47" s="15">
        <v>12</v>
      </c>
      <c r="K47" s="15">
        <f t="shared" si="7"/>
        <v>36</v>
      </c>
      <c r="L47" s="15">
        <f t="shared" si="8"/>
        <v>0</v>
      </c>
      <c r="M47" s="4"/>
    </row>
    <row r="48" spans="1:13" x14ac:dyDescent="0.25">
      <c r="A48" s="15">
        <v>3</v>
      </c>
      <c r="B48" s="15" t="s">
        <v>16</v>
      </c>
      <c r="C48" s="15" t="s">
        <v>17</v>
      </c>
      <c r="D48" s="15">
        <v>675</v>
      </c>
      <c r="E48" s="15">
        <v>40</v>
      </c>
      <c r="F48" s="15">
        <v>3</v>
      </c>
      <c r="G48" s="15">
        <v>12</v>
      </c>
      <c r="H48" s="15">
        <f t="shared" si="6"/>
        <v>36</v>
      </c>
      <c r="I48" s="15">
        <v>3</v>
      </c>
      <c r="J48" s="15">
        <v>12</v>
      </c>
      <c r="K48" s="15">
        <f t="shared" si="7"/>
        <v>36</v>
      </c>
      <c r="L48" s="15">
        <f t="shared" si="8"/>
        <v>0</v>
      </c>
      <c r="M48" s="4"/>
    </row>
    <row r="49" spans="1:13" x14ac:dyDescent="0.25">
      <c r="A49" s="15">
        <v>4</v>
      </c>
      <c r="B49" s="15" t="s">
        <v>16</v>
      </c>
      <c r="C49" s="15" t="s">
        <v>17</v>
      </c>
      <c r="D49" s="19">
        <v>424</v>
      </c>
      <c r="E49" s="15">
        <v>40</v>
      </c>
      <c r="F49" s="15">
        <v>3</v>
      </c>
      <c r="G49" s="15">
        <v>12</v>
      </c>
      <c r="H49" s="15">
        <f t="shared" si="6"/>
        <v>36</v>
      </c>
      <c r="I49" s="18">
        <v>2</v>
      </c>
      <c r="J49" s="15">
        <v>12</v>
      </c>
      <c r="K49" s="15">
        <f t="shared" si="7"/>
        <v>24</v>
      </c>
      <c r="L49" s="15">
        <f t="shared" si="8"/>
        <v>-12</v>
      </c>
      <c r="M49" s="4"/>
    </row>
    <row r="50" spans="1:13" x14ac:dyDescent="0.25">
      <c r="A50" s="15">
        <v>5</v>
      </c>
      <c r="B50" s="15" t="s">
        <v>16</v>
      </c>
      <c r="C50" s="15" t="s">
        <v>17</v>
      </c>
      <c r="D50" s="15">
        <v>681</v>
      </c>
      <c r="E50" s="15">
        <v>40</v>
      </c>
      <c r="F50" s="15">
        <v>3</v>
      </c>
      <c r="G50" s="15">
        <v>12</v>
      </c>
      <c r="H50" s="15">
        <f t="shared" si="6"/>
        <v>36</v>
      </c>
      <c r="I50" s="16">
        <v>3</v>
      </c>
      <c r="J50" s="15">
        <v>12</v>
      </c>
      <c r="K50" s="15">
        <f t="shared" si="7"/>
        <v>36</v>
      </c>
      <c r="L50" s="15">
        <f t="shared" si="8"/>
        <v>0</v>
      </c>
      <c r="M50" s="4"/>
    </row>
    <row r="51" spans="1:13" x14ac:dyDescent="0.25">
      <c r="A51" s="15">
        <v>6</v>
      </c>
      <c r="B51" s="15" t="s">
        <v>16</v>
      </c>
      <c r="C51" s="15" t="s">
        <v>17</v>
      </c>
      <c r="D51" s="19">
        <v>525</v>
      </c>
      <c r="E51" s="15">
        <v>40</v>
      </c>
      <c r="F51" s="15">
        <v>3</v>
      </c>
      <c r="G51" s="15">
        <v>12</v>
      </c>
      <c r="H51" s="15">
        <f t="shared" si="6"/>
        <v>36</v>
      </c>
      <c r="I51" s="18">
        <v>2</v>
      </c>
      <c r="J51" s="15">
        <v>12</v>
      </c>
      <c r="K51" s="15">
        <f t="shared" si="7"/>
        <v>24</v>
      </c>
      <c r="L51" s="15">
        <f t="shared" si="8"/>
        <v>-12</v>
      </c>
      <c r="M51" s="4"/>
    </row>
    <row r="52" spans="1:13" x14ac:dyDescent="0.25">
      <c r="A52" s="15">
        <v>7</v>
      </c>
      <c r="B52" s="15" t="s">
        <v>16</v>
      </c>
      <c r="C52" s="15" t="s">
        <v>17</v>
      </c>
      <c r="D52" s="19">
        <v>445</v>
      </c>
      <c r="E52" s="15">
        <v>40</v>
      </c>
      <c r="F52" s="15">
        <v>3</v>
      </c>
      <c r="G52" s="15">
        <v>12</v>
      </c>
      <c r="H52" s="15">
        <f t="shared" si="6"/>
        <v>36</v>
      </c>
      <c r="I52" s="19">
        <v>2</v>
      </c>
      <c r="J52" s="15">
        <v>12</v>
      </c>
      <c r="K52" s="15">
        <f t="shared" si="7"/>
        <v>24</v>
      </c>
      <c r="L52" s="15">
        <f t="shared" si="8"/>
        <v>-12</v>
      </c>
      <c r="M52" s="4"/>
    </row>
    <row r="53" spans="1:13" x14ac:dyDescent="0.25">
      <c r="A53" s="15">
        <v>8</v>
      </c>
      <c r="B53" s="15" t="s">
        <v>16</v>
      </c>
      <c r="C53" s="15" t="s">
        <v>17</v>
      </c>
      <c r="D53" s="15">
        <v>506</v>
      </c>
      <c r="E53" s="15">
        <v>40</v>
      </c>
      <c r="F53" s="15">
        <v>3</v>
      </c>
      <c r="G53" s="15">
        <v>12</v>
      </c>
      <c r="H53" s="15">
        <f t="shared" si="6"/>
        <v>36</v>
      </c>
      <c r="I53" s="15">
        <v>3</v>
      </c>
      <c r="J53" s="15">
        <v>12</v>
      </c>
      <c r="K53" s="15">
        <f t="shared" si="7"/>
        <v>36</v>
      </c>
      <c r="L53" s="15">
        <f t="shared" si="8"/>
        <v>0</v>
      </c>
      <c r="M53" s="4"/>
    </row>
    <row r="54" spans="1:13" x14ac:dyDescent="0.25">
      <c r="A54" s="15">
        <v>9</v>
      </c>
      <c r="B54" s="15" t="s">
        <v>16</v>
      </c>
      <c r="C54" s="15" t="s">
        <v>17</v>
      </c>
      <c r="D54" s="10">
        <v>713</v>
      </c>
      <c r="E54" s="15">
        <v>40</v>
      </c>
      <c r="F54" s="15">
        <v>3</v>
      </c>
      <c r="G54" s="15">
        <v>12</v>
      </c>
      <c r="H54" s="15">
        <f t="shared" si="6"/>
        <v>36</v>
      </c>
      <c r="I54" s="10">
        <v>1</v>
      </c>
      <c r="J54" s="15">
        <v>12</v>
      </c>
      <c r="K54" s="15">
        <f t="shared" si="7"/>
        <v>12</v>
      </c>
      <c r="L54" s="15">
        <f t="shared" si="8"/>
        <v>-24</v>
      </c>
      <c r="M54" s="4"/>
    </row>
    <row r="55" spans="1:13" hidden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4"/>
    </row>
    <row r="56" spans="1:13" hidden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4"/>
    </row>
    <row r="57" spans="1:13" hidden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4"/>
    </row>
    <row r="58" spans="1:13" hidden="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4"/>
    </row>
    <row r="59" spans="1:13" hidden="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4"/>
    </row>
    <row r="60" spans="1:13" x14ac:dyDescent="0.25">
      <c r="A60" s="13"/>
      <c r="B60" s="13" t="s">
        <v>18</v>
      </c>
      <c r="C60" s="13"/>
      <c r="D60" s="13"/>
      <c r="E60" s="13"/>
      <c r="F60" s="13"/>
      <c r="G60" s="13"/>
      <c r="H60" s="13">
        <f>SUM(H46:H59)</f>
        <v>324</v>
      </c>
      <c r="I60" s="13"/>
      <c r="J60" s="13"/>
      <c r="K60" s="13">
        <f>SUM(K46:K59)</f>
        <v>264</v>
      </c>
      <c r="L60" s="13">
        <f>SUM(L46:L59)</f>
        <v>-60</v>
      </c>
      <c r="M60" s="4"/>
    </row>
    <row r="61" spans="1:13" x14ac:dyDescent="0.25">
      <c r="A61" s="38" t="s">
        <v>27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</row>
    <row r="62" spans="1:13" x14ac:dyDescent="0.25">
      <c r="A62" s="15">
        <v>1</v>
      </c>
      <c r="B62" s="15" t="s">
        <v>29</v>
      </c>
      <c r="C62" s="15" t="s">
        <v>25</v>
      </c>
      <c r="D62" s="15">
        <v>771</v>
      </c>
      <c r="E62" s="15">
        <v>72</v>
      </c>
      <c r="F62" s="15">
        <v>2</v>
      </c>
      <c r="G62" s="15">
        <v>12</v>
      </c>
      <c r="H62" s="15">
        <f>+G62*F62</f>
        <v>24</v>
      </c>
      <c r="I62" s="15">
        <v>2</v>
      </c>
      <c r="J62" s="15">
        <v>12</v>
      </c>
      <c r="K62" s="15">
        <f>+J62*I62</f>
        <v>24</v>
      </c>
      <c r="L62" s="15">
        <f>+K62-H62</f>
        <v>0</v>
      </c>
      <c r="M62" s="4"/>
    </row>
    <row r="63" spans="1:13" x14ac:dyDescent="0.25">
      <c r="A63" s="15">
        <v>2</v>
      </c>
      <c r="B63" s="15" t="s">
        <v>24</v>
      </c>
      <c r="C63" s="15" t="s">
        <v>25</v>
      </c>
      <c r="D63" s="15">
        <v>912</v>
      </c>
      <c r="E63" s="15">
        <v>72</v>
      </c>
      <c r="F63" s="15">
        <v>2</v>
      </c>
      <c r="G63" s="15">
        <v>12</v>
      </c>
      <c r="H63" s="15">
        <f>+G63*F63</f>
        <v>24</v>
      </c>
      <c r="I63" s="15">
        <v>2</v>
      </c>
      <c r="J63" s="15">
        <v>12</v>
      </c>
      <c r="K63" s="15">
        <f>+J63*I63</f>
        <v>24</v>
      </c>
      <c r="L63" s="15">
        <f>+K63-H63</f>
        <v>0</v>
      </c>
      <c r="M63" s="4"/>
    </row>
    <row r="64" spans="1:13" x14ac:dyDescent="0.25">
      <c r="A64" s="15">
        <v>3</v>
      </c>
      <c r="B64" s="15" t="s">
        <v>24</v>
      </c>
      <c r="C64" s="15" t="s">
        <v>25</v>
      </c>
      <c r="D64" s="15">
        <v>235</v>
      </c>
      <c r="E64" s="15">
        <v>80</v>
      </c>
      <c r="F64" s="15">
        <v>2</v>
      </c>
      <c r="G64" s="15">
        <v>12</v>
      </c>
      <c r="H64" s="15">
        <f t="shared" ref="H64:H66" si="9">+G64*F64</f>
        <v>24</v>
      </c>
      <c r="I64" s="15">
        <v>2</v>
      </c>
      <c r="J64" s="15">
        <v>12</v>
      </c>
      <c r="K64" s="15">
        <f t="shared" ref="K64:K66" si="10">+J64*I64</f>
        <v>24</v>
      </c>
      <c r="L64" s="15">
        <f t="shared" ref="L64:L66" si="11">+K64-H64</f>
        <v>0</v>
      </c>
      <c r="M64" s="4"/>
    </row>
    <row r="65" spans="1:13" x14ac:dyDescent="0.25">
      <c r="A65" s="15">
        <v>4</v>
      </c>
      <c r="B65" s="15" t="s">
        <v>24</v>
      </c>
      <c r="C65" s="15" t="s">
        <v>25</v>
      </c>
      <c r="D65" s="15">
        <v>317</v>
      </c>
      <c r="E65" s="15">
        <v>80</v>
      </c>
      <c r="F65" s="15">
        <v>2</v>
      </c>
      <c r="G65" s="15">
        <v>12</v>
      </c>
      <c r="H65" s="15">
        <f t="shared" si="9"/>
        <v>24</v>
      </c>
      <c r="I65" s="15">
        <v>2</v>
      </c>
      <c r="J65" s="15">
        <v>12</v>
      </c>
      <c r="K65" s="15">
        <f t="shared" si="10"/>
        <v>24</v>
      </c>
      <c r="L65" s="15">
        <f t="shared" si="11"/>
        <v>0</v>
      </c>
      <c r="M65" s="4"/>
    </row>
    <row r="66" spans="1:13" x14ac:dyDescent="0.25">
      <c r="A66" s="15">
        <v>5</v>
      </c>
      <c r="B66" s="15" t="s">
        <v>24</v>
      </c>
      <c r="C66" s="15" t="s">
        <v>25</v>
      </c>
      <c r="D66" s="15">
        <v>354</v>
      </c>
      <c r="E66" s="15">
        <v>80</v>
      </c>
      <c r="F66" s="15">
        <v>2</v>
      </c>
      <c r="G66" s="15">
        <v>12</v>
      </c>
      <c r="H66" s="15">
        <f t="shared" si="9"/>
        <v>24</v>
      </c>
      <c r="I66" s="15">
        <v>1</v>
      </c>
      <c r="J66" s="15">
        <v>12</v>
      </c>
      <c r="K66" s="15">
        <f t="shared" si="10"/>
        <v>12</v>
      </c>
      <c r="L66" s="15">
        <f t="shared" si="11"/>
        <v>-12</v>
      </c>
      <c r="M66" s="4"/>
    </row>
    <row r="67" spans="1:13" hidden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4"/>
    </row>
    <row r="68" spans="1:13" hidden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4"/>
    </row>
    <row r="69" spans="1:13" hidden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4"/>
    </row>
    <row r="70" spans="1:13" x14ac:dyDescent="0.25">
      <c r="A70" s="13"/>
      <c r="B70" s="13" t="s">
        <v>18</v>
      </c>
      <c r="C70" s="13"/>
      <c r="D70" s="13"/>
      <c r="E70" s="13"/>
      <c r="F70" s="13"/>
      <c r="G70" s="13"/>
      <c r="H70" s="13">
        <f>SUM(H62:H69)</f>
        <v>120</v>
      </c>
      <c r="I70" s="13"/>
      <c r="J70" s="13"/>
      <c r="K70" s="13">
        <f>SUM(K62:K69)</f>
        <v>108</v>
      </c>
      <c r="L70" s="13">
        <f>SUM(L62:L69)</f>
        <v>-12</v>
      </c>
      <c r="M70" s="4"/>
    </row>
  </sheetData>
  <mergeCells count="17">
    <mergeCell ref="A12:M12"/>
    <mergeCell ref="A2:A4"/>
    <mergeCell ref="B2:B4"/>
    <mergeCell ref="C2:C4"/>
    <mergeCell ref="D2:D4"/>
    <mergeCell ref="E2:E3"/>
    <mergeCell ref="F2:H2"/>
    <mergeCell ref="I2:K2"/>
    <mergeCell ref="L2:L3"/>
    <mergeCell ref="M2:M4"/>
    <mergeCell ref="A5:M5"/>
    <mergeCell ref="A6:M6"/>
    <mergeCell ref="A28:M28"/>
    <mergeCell ref="A38:M38"/>
    <mergeCell ref="A39:M39"/>
    <mergeCell ref="A45:M45"/>
    <mergeCell ref="A61:M6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19A4-46DD-420F-839B-2D0254D98D8F}">
  <dimension ref="A1:M84"/>
  <sheetViews>
    <sheetView zoomScaleNormal="100" workbookViewId="0">
      <pane ySplit="4" topLeftCell="A5" activePane="bottomLeft" state="frozen"/>
      <selection pane="bottomLeft" activeCell="F10" sqref="F10"/>
    </sheetView>
  </sheetViews>
  <sheetFormatPr defaultRowHeight="15" x14ac:dyDescent="0.25"/>
  <cols>
    <col min="1" max="1" width="9.140625" style="6"/>
    <col min="2" max="2" width="11.5703125" style="6" bestFit="1" customWidth="1"/>
    <col min="3" max="3" width="11.7109375" style="6" bestFit="1" customWidth="1"/>
    <col min="4" max="4" width="9.140625" style="6"/>
    <col min="5" max="5" width="10.42578125" style="6" bestFit="1" customWidth="1"/>
    <col min="6" max="12" width="9.140625" style="6"/>
    <col min="13" max="13" width="29" style="6" customWidth="1"/>
    <col min="14" max="16384" width="9.140625" style="6"/>
  </cols>
  <sheetData>
    <row r="1" spans="1:13" x14ac:dyDescent="0.25">
      <c r="M1" s="12">
        <v>46280</v>
      </c>
    </row>
    <row r="2" spans="1:13" x14ac:dyDescent="0.25">
      <c r="A2" s="40" t="s">
        <v>0</v>
      </c>
      <c r="B2" s="41" t="s">
        <v>1</v>
      </c>
      <c r="C2" s="42" t="s">
        <v>2</v>
      </c>
      <c r="D2" s="42" t="s">
        <v>3</v>
      </c>
      <c r="E2" s="41" t="s">
        <v>4</v>
      </c>
      <c r="F2" s="39" t="s">
        <v>19</v>
      </c>
      <c r="G2" s="39"/>
      <c r="H2" s="39"/>
      <c r="I2" s="39" t="s">
        <v>20</v>
      </c>
      <c r="J2" s="39"/>
      <c r="K2" s="39"/>
      <c r="L2" s="40" t="s">
        <v>10</v>
      </c>
      <c r="M2" s="40" t="s">
        <v>11</v>
      </c>
    </row>
    <row r="3" spans="1:13" ht="45" x14ac:dyDescent="0.25">
      <c r="A3" s="40"/>
      <c r="B3" s="41"/>
      <c r="C3" s="42"/>
      <c r="D3" s="42"/>
      <c r="E3" s="41"/>
      <c r="F3" s="14" t="s">
        <v>5</v>
      </c>
      <c r="G3" s="14" t="s">
        <v>6</v>
      </c>
      <c r="H3" s="14" t="s">
        <v>7</v>
      </c>
      <c r="I3" s="14" t="s">
        <v>8</v>
      </c>
      <c r="J3" s="14" t="s">
        <v>6</v>
      </c>
      <c r="K3" s="14" t="s">
        <v>9</v>
      </c>
      <c r="L3" s="40"/>
      <c r="M3" s="40"/>
    </row>
    <row r="4" spans="1:13" x14ac:dyDescent="0.25">
      <c r="A4" s="40"/>
      <c r="B4" s="41"/>
      <c r="C4" s="42"/>
      <c r="D4" s="42"/>
      <c r="E4" s="15" t="s">
        <v>12</v>
      </c>
      <c r="F4" s="14" t="s">
        <v>13</v>
      </c>
      <c r="G4" s="3" t="s">
        <v>14</v>
      </c>
      <c r="H4" s="14" t="s">
        <v>14</v>
      </c>
      <c r="I4" s="14" t="s">
        <v>13</v>
      </c>
      <c r="J4" s="3" t="s">
        <v>14</v>
      </c>
      <c r="K4" s="14" t="s">
        <v>14</v>
      </c>
      <c r="L4" s="14" t="s">
        <v>14</v>
      </c>
      <c r="M4" s="40"/>
    </row>
    <row r="5" spans="1:13" x14ac:dyDescent="0.25">
      <c r="A5" s="43" t="s">
        <v>15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</row>
    <row r="6" spans="1:13" x14ac:dyDescent="0.25">
      <c r="A6" s="46" t="s">
        <v>39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8"/>
    </row>
    <row r="7" spans="1:13" x14ac:dyDescent="0.25">
      <c r="A7" s="24">
        <v>1</v>
      </c>
      <c r="B7" s="24" t="s">
        <v>16</v>
      </c>
      <c r="C7" s="24" t="s">
        <v>17</v>
      </c>
      <c r="D7" s="24">
        <v>498</v>
      </c>
      <c r="E7" s="24">
        <v>5</v>
      </c>
      <c r="F7" s="24">
        <v>5</v>
      </c>
      <c r="G7" s="24">
        <v>12</v>
      </c>
      <c r="H7" s="24">
        <f>+G7*F7</f>
        <v>60</v>
      </c>
      <c r="I7" s="24">
        <v>5</v>
      </c>
      <c r="J7" s="24">
        <v>12</v>
      </c>
      <c r="K7" s="24">
        <f>+J7*I7</f>
        <v>60</v>
      </c>
      <c r="L7" s="24">
        <f>+K7-H7</f>
        <v>0</v>
      </c>
      <c r="M7" s="4"/>
    </row>
    <row r="8" spans="1:13" x14ac:dyDescent="0.25">
      <c r="A8" s="24">
        <v>2</v>
      </c>
      <c r="B8" s="24" t="s">
        <v>16</v>
      </c>
      <c r="C8" s="24" t="s">
        <v>17</v>
      </c>
      <c r="D8" s="24">
        <v>537</v>
      </c>
      <c r="E8" s="24">
        <v>5</v>
      </c>
      <c r="F8" s="24">
        <v>5</v>
      </c>
      <c r="G8" s="24">
        <v>12</v>
      </c>
      <c r="H8" s="24">
        <f>+G8*F8</f>
        <v>60</v>
      </c>
      <c r="I8" s="24">
        <v>5</v>
      </c>
      <c r="J8" s="24">
        <v>12</v>
      </c>
      <c r="K8" s="24">
        <f>+J8*I8</f>
        <v>60</v>
      </c>
      <c r="L8" s="24">
        <f>+K8-H8</f>
        <v>0</v>
      </c>
      <c r="M8" s="4"/>
    </row>
    <row r="9" spans="1:13" x14ac:dyDescent="0.25">
      <c r="A9" s="24">
        <v>3</v>
      </c>
      <c r="B9" s="24" t="s">
        <v>16</v>
      </c>
      <c r="C9" s="24" t="s">
        <v>17</v>
      </c>
      <c r="D9" s="24">
        <v>532</v>
      </c>
      <c r="E9" s="24">
        <v>5</v>
      </c>
      <c r="F9" s="24">
        <v>5</v>
      </c>
      <c r="G9" s="24">
        <v>12</v>
      </c>
      <c r="H9" s="24">
        <f>+G9*F9</f>
        <v>60</v>
      </c>
      <c r="I9" s="24">
        <v>5</v>
      </c>
      <c r="J9" s="24">
        <v>12</v>
      </c>
      <c r="K9" s="24">
        <f>+J9*I9</f>
        <v>60</v>
      </c>
      <c r="L9" s="24">
        <f>+K9-H9</f>
        <v>0</v>
      </c>
      <c r="M9" s="4"/>
    </row>
    <row r="10" spans="1:13" x14ac:dyDescent="0.25">
      <c r="A10" s="23"/>
      <c r="B10" s="23" t="s">
        <v>18</v>
      </c>
      <c r="C10" s="23"/>
      <c r="D10" s="23"/>
      <c r="E10" s="23"/>
      <c r="F10" s="23"/>
      <c r="G10" s="23"/>
      <c r="H10" s="23">
        <f>SUM(H7:H9)</f>
        <v>180</v>
      </c>
      <c r="I10" s="23"/>
      <c r="J10" s="23"/>
      <c r="K10" s="23">
        <f>SUM(K7:K9)</f>
        <v>180</v>
      </c>
      <c r="L10" s="23">
        <f>SUM(L7:L9)</f>
        <v>0</v>
      </c>
      <c r="M10" s="4"/>
    </row>
    <row r="11" spans="1:13" x14ac:dyDescent="0.25">
      <c r="A11" s="46" t="s">
        <v>21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8"/>
    </row>
    <row r="12" spans="1:13" x14ac:dyDescent="0.25">
      <c r="A12" s="24">
        <v>1</v>
      </c>
      <c r="B12" s="24" t="s">
        <v>16</v>
      </c>
      <c r="C12" s="24" t="s">
        <v>17</v>
      </c>
      <c r="D12" s="24">
        <v>498</v>
      </c>
      <c r="E12" s="24">
        <v>32</v>
      </c>
      <c r="F12" s="24">
        <v>1</v>
      </c>
      <c r="G12" s="24">
        <v>12</v>
      </c>
      <c r="H12" s="24">
        <f>+G12*F12</f>
        <v>12</v>
      </c>
      <c r="I12" s="24">
        <v>1</v>
      </c>
      <c r="J12" s="24">
        <v>12</v>
      </c>
      <c r="K12" s="24">
        <f>+J12*I12</f>
        <v>12</v>
      </c>
      <c r="L12" s="24">
        <f>+K12-H12</f>
        <v>0</v>
      </c>
      <c r="M12" s="4"/>
    </row>
    <row r="13" spans="1:13" x14ac:dyDescent="0.25">
      <c r="A13" s="24">
        <v>2</v>
      </c>
      <c r="B13" s="24" t="s">
        <v>16</v>
      </c>
      <c r="C13" s="24" t="s">
        <v>17</v>
      </c>
      <c r="D13" s="24">
        <v>537</v>
      </c>
      <c r="E13" s="24">
        <v>32</v>
      </c>
      <c r="F13" s="24">
        <v>1</v>
      </c>
      <c r="G13" s="24">
        <v>12</v>
      </c>
      <c r="H13" s="24">
        <f>+G13*F13</f>
        <v>12</v>
      </c>
      <c r="I13" s="24">
        <v>1</v>
      </c>
      <c r="J13" s="24">
        <v>12</v>
      </c>
      <c r="K13" s="24">
        <f>+J13*I13</f>
        <v>12</v>
      </c>
      <c r="L13" s="24">
        <f>+K13-H13</f>
        <v>0</v>
      </c>
      <c r="M13" s="4"/>
    </row>
    <row r="14" spans="1:13" x14ac:dyDescent="0.25">
      <c r="A14" s="24">
        <v>3</v>
      </c>
      <c r="B14" s="24" t="s">
        <v>16</v>
      </c>
      <c r="C14" s="24" t="s">
        <v>17</v>
      </c>
      <c r="D14" s="24">
        <v>532</v>
      </c>
      <c r="E14" s="24">
        <v>32</v>
      </c>
      <c r="F14" s="24">
        <v>1</v>
      </c>
      <c r="G14" s="24">
        <v>12</v>
      </c>
      <c r="H14" s="24">
        <f>+G14*F14</f>
        <v>12</v>
      </c>
      <c r="I14" s="24">
        <v>1</v>
      </c>
      <c r="J14" s="24">
        <v>12</v>
      </c>
      <c r="K14" s="24">
        <f>+J14*I14</f>
        <v>12</v>
      </c>
      <c r="L14" s="24">
        <f>+K14-H14</f>
        <v>0</v>
      </c>
      <c r="M14" s="4"/>
    </row>
    <row r="15" spans="1:13" x14ac:dyDescent="0.25">
      <c r="A15" s="23"/>
      <c r="B15" s="23" t="s">
        <v>18</v>
      </c>
      <c r="C15" s="23"/>
      <c r="D15" s="23"/>
      <c r="E15" s="23"/>
      <c r="F15" s="23"/>
      <c r="G15" s="23"/>
      <c r="H15" s="23">
        <f>SUM(H12:H14)</f>
        <v>36</v>
      </c>
      <c r="I15" s="23"/>
      <c r="J15" s="23"/>
      <c r="K15" s="23">
        <f>SUM(K12:K14)</f>
        <v>36</v>
      </c>
      <c r="L15" s="23">
        <f>SUM(L12:L14)</f>
        <v>0</v>
      </c>
      <c r="M15" s="4"/>
    </row>
    <row r="16" spans="1:13" x14ac:dyDescent="0.25">
      <c r="A16" s="38" t="s">
        <v>36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</row>
    <row r="17" spans="1:13" x14ac:dyDescent="0.25">
      <c r="A17" s="21">
        <v>1</v>
      </c>
      <c r="B17" s="21" t="s">
        <v>16</v>
      </c>
      <c r="C17" s="21" t="s">
        <v>17</v>
      </c>
      <c r="D17" s="21">
        <v>498</v>
      </c>
      <c r="E17" s="21">
        <v>5</v>
      </c>
      <c r="F17" s="21">
        <v>6</v>
      </c>
      <c r="G17" s="21">
        <v>12</v>
      </c>
      <c r="H17" s="21">
        <f t="shared" ref="H17:H18" si="0">+G17*F17</f>
        <v>72</v>
      </c>
      <c r="I17" s="22">
        <v>6</v>
      </c>
      <c r="J17" s="21">
        <v>12</v>
      </c>
      <c r="K17" s="21">
        <f t="shared" ref="K17:K18" si="1">+J17*I17</f>
        <v>72</v>
      </c>
      <c r="L17" s="21">
        <f t="shared" ref="L17:L18" si="2">+K17-H17</f>
        <v>0</v>
      </c>
      <c r="M17" s="4"/>
    </row>
    <row r="18" spans="1:13" x14ac:dyDescent="0.25">
      <c r="A18" s="21">
        <v>2</v>
      </c>
      <c r="B18" s="21" t="s">
        <v>16</v>
      </c>
      <c r="C18" s="21" t="s">
        <v>17</v>
      </c>
      <c r="D18" s="21">
        <v>537</v>
      </c>
      <c r="E18" s="21">
        <v>5</v>
      </c>
      <c r="F18" s="21">
        <v>6</v>
      </c>
      <c r="G18" s="21">
        <v>12</v>
      </c>
      <c r="H18" s="21">
        <f t="shared" si="0"/>
        <v>72</v>
      </c>
      <c r="I18" s="21">
        <v>6</v>
      </c>
      <c r="J18" s="21">
        <v>12</v>
      </c>
      <c r="K18" s="21">
        <f t="shared" si="1"/>
        <v>72</v>
      </c>
      <c r="L18" s="21">
        <f t="shared" si="2"/>
        <v>0</v>
      </c>
      <c r="M18" s="4"/>
    </row>
    <row r="19" spans="1:13" hidden="1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4"/>
    </row>
    <row r="20" spans="1:13" hidden="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4"/>
    </row>
    <row r="21" spans="1:13" hidden="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4"/>
    </row>
    <row r="22" spans="1:13" hidden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4"/>
    </row>
    <row r="23" spans="1:13" hidden="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4"/>
    </row>
    <row r="24" spans="1:13" x14ac:dyDescent="0.25">
      <c r="A24" s="20"/>
      <c r="B24" s="20" t="s">
        <v>18</v>
      </c>
      <c r="C24" s="20"/>
      <c r="D24" s="20"/>
      <c r="E24" s="20"/>
      <c r="F24" s="20"/>
      <c r="G24" s="20"/>
      <c r="H24" s="20">
        <f>SUM(H17:H23)</f>
        <v>144</v>
      </c>
      <c r="I24" s="20"/>
      <c r="J24" s="20"/>
      <c r="K24" s="20">
        <f>SUM(K17:K23)</f>
        <v>144</v>
      </c>
      <c r="L24" s="20">
        <f>SUM(L17:L23)</f>
        <v>0</v>
      </c>
      <c r="M24" s="4"/>
    </row>
    <row r="25" spans="1:13" x14ac:dyDescent="0.25">
      <c r="A25" s="38" t="s">
        <v>27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 x14ac:dyDescent="0.25">
      <c r="A26" s="15">
        <v>1</v>
      </c>
      <c r="B26" s="15" t="s">
        <v>16</v>
      </c>
      <c r="C26" s="15" t="s">
        <v>17</v>
      </c>
      <c r="D26" s="15">
        <v>713</v>
      </c>
      <c r="E26" s="15">
        <v>80</v>
      </c>
      <c r="F26" s="15">
        <v>2</v>
      </c>
      <c r="G26" s="15">
        <v>12</v>
      </c>
      <c r="H26" s="15">
        <f t="shared" ref="H26:H29" si="3">+G26*F26</f>
        <v>24</v>
      </c>
      <c r="I26" s="16">
        <v>2</v>
      </c>
      <c r="J26" s="15">
        <v>12</v>
      </c>
      <c r="K26" s="15">
        <f t="shared" ref="K26:K29" si="4">+J26*I26</f>
        <v>24</v>
      </c>
      <c r="L26" s="15">
        <f t="shared" ref="L26:L29" si="5">+K26-H26</f>
        <v>0</v>
      </c>
      <c r="M26" s="4"/>
    </row>
    <row r="27" spans="1:13" x14ac:dyDescent="0.25">
      <c r="A27" s="15">
        <v>2</v>
      </c>
      <c r="B27" s="15" t="s">
        <v>16</v>
      </c>
      <c r="C27" s="15" t="s">
        <v>17</v>
      </c>
      <c r="D27" s="15">
        <v>803</v>
      </c>
      <c r="E27" s="15">
        <v>80</v>
      </c>
      <c r="F27" s="15">
        <v>2</v>
      </c>
      <c r="G27" s="15">
        <v>12</v>
      </c>
      <c r="H27" s="15">
        <f t="shared" si="3"/>
        <v>24</v>
      </c>
      <c r="I27" s="15">
        <v>2</v>
      </c>
      <c r="J27" s="15">
        <v>12</v>
      </c>
      <c r="K27" s="15">
        <f t="shared" si="4"/>
        <v>24</v>
      </c>
      <c r="L27" s="15">
        <f t="shared" si="5"/>
        <v>0</v>
      </c>
      <c r="M27" s="4"/>
    </row>
    <row r="28" spans="1:13" x14ac:dyDescent="0.25">
      <c r="A28" s="15">
        <v>3</v>
      </c>
      <c r="B28" s="15" t="s">
        <v>16</v>
      </c>
      <c r="C28" s="15" t="s">
        <v>17</v>
      </c>
      <c r="D28" s="15">
        <v>506</v>
      </c>
      <c r="E28" s="15">
        <v>80</v>
      </c>
      <c r="F28" s="15">
        <v>2</v>
      </c>
      <c r="G28" s="15">
        <v>12</v>
      </c>
      <c r="H28" s="15">
        <f t="shared" si="3"/>
        <v>24</v>
      </c>
      <c r="I28" s="15">
        <v>2</v>
      </c>
      <c r="J28" s="15">
        <v>12</v>
      </c>
      <c r="K28" s="15">
        <f t="shared" si="4"/>
        <v>24</v>
      </c>
      <c r="L28" s="15">
        <f t="shared" si="5"/>
        <v>0</v>
      </c>
      <c r="M28" s="4"/>
    </row>
    <row r="29" spans="1:13" x14ac:dyDescent="0.25">
      <c r="A29" s="15">
        <v>4</v>
      </c>
      <c r="B29" s="15" t="s">
        <v>16</v>
      </c>
      <c r="C29" s="15" t="s">
        <v>17</v>
      </c>
      <c r="D29" s="15">
        <v>445</v>
      </c>
      <c r="E29" s="15">
        <v>80</v>
      </c>
      <c r="F29" s="15">
        <v>2</v>
      </c>
      <c r="G29" s="15">
        <v>12</v>
      </c>
      <c r="H29" s="15">
        <f t="shared" si="3"/>
        <v>24</v>
      </c>
      <c r="I29" s="16">
        <v>2</v>
      </c>
      <c r="J29" s="15">
        <v>12</v>
      </c>
      <c r="K29" s="15">
        <f t="shared" si="4"/>
        <v>24</v>
      </c>
      <c r="L29" s="15">
        <f t="shared" si="5"/>
        <v>0</v>
      </c>
      <c r="M29" s="4"/>
    </row>
    <row r="30" spans="1:13" hidden="1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4"/>
    </row>
    <row r="31" spans="1:13" hidden="1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4"/>
    </row>
    <row r="32" spans="1:13" hidden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4"/>
    </row>
    <row r="33" spans="1:13" hidden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4"/>
    </row>
    <row r="34" spans="1:13" hidden="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4"/>
    </row>
    <row r="35" spans="1:13" x14ac:dyDescent="0.25">
      <c r="A35" s="13"/>
      <c r="B35" s="13" t="s">
        <v>18</v>
      </c>
      <c r="C35" s="13"/>
      <c r="D35" s="13"/>
      <c r="E35" s="13"/>
      <c r="F35" s="13"/>
      <c r="G35" s="13"/>
      <c r="H35" s="13">
        <f>SUM(H26:H34)</f>
        <v>96</v>
      </c>
      <c r="I35" s="13"/>
      <c r="J35" s="13"/>
      <c r="K35" s="13">
        <f>SUM(K26:K34)</f>
        <v>96</v>
      </c>
      <c r="L35" s="13">
        <f>SUM(L26:L34)</f>
        <v>0</v>
      </c>
      <c r="M35" s="4"/>
    </row>
    <row r="36" spans="1:13" x14ac:dyDescent="0.25">
      <c r="A36" s="38" t="s">
        <v>34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</row>
    <row r="37" spans="1:13" x14ac:dyDescent="0.25">
      <c r="A37" s="15">
        <v>1</v>
      </c>
      <c r="B37" s="15" t="s">
        <v>16</v>
      </c>
      <c r="C37" s="15" t="s">
        <v>17</v>
      </c>
      <c r="D37" s="15">
        <v>367</v>
      </c>
      <c r="E37" s="15">
        <v>80</v>
      </c>
      <c r="F37" s="15">
        <v>2</v>
      </c>
      <c r="G37" s="15">
        <v>12</v>
      </c>
      <c r="H37" s="15">
        <f t="shared" ref="H37:H39" si="6">+G37*F37</f>
        <v>24</v>
      </c>
      <c r="I37" s="16">
        <v>2</v>
      </c>
      <c r="J37" s="15">
        <v>12</v>
      </c>
      <c r="K37" s="15">
        <f t="shared" ref="K37:K39" si="7">+J37*I37</f>
        <v>24</v>
      </c>
      <c r="L37" s="15">
        <f t="shared" ref="L37:L39" si="8">+K37-H37</f>
        <v>0</v>
      </c>
      <c r="M37" s="4"/>
    </row>
    <row r="38" spans="1:13" x14ac:dyDescent="0.25">
      <c r="A38" s="15">
        <v>2</v>
      </c>
      <c r="B38" s="15" t="s">
        <v>16</v>
      </c>
      <c r="C38" s="15" t="s">
        <v>17</v>
      </c>
      <c r="D38" s="15">
        <v>457</v>
      </c>
      <c r="E38" s="15">
        <v>80</v>
      </c>
      <c r="F38" s="15">
        <v>2</v>
      </c>
      <c r="G38" s="15">
        <v>12</v>
      </c>
      <c r="H38" s="15">
        <f t="shared" si="6"/>
        <v>24</v>
      </c>
      <c r="I38" s="15">
        <v>2</v>
      </c>
      <c r="J38" s="15">
        <v>12</v>
      </c>
      <c r="K38" s="15">
        <f t="shared" si="7"/>
        <v>24</v>
      </c>
      <c r="L38" s="15">
        <f t="shared" si="8"/>
        <v>0</v>
      </c>
      <c r="M38" s="4"/>
    </row>
    <row r="39" spans="1:13" x14ac:dyDescent="0.25">
      <c r="A39" s="15">
        <v>3</v>
      </c>
      <c r="B39" s="15" t="s">
        <v>16</v>
      </c>
      <c r="C39" s="15" t="s">
        <v>17</v>
      </c>
      <c r="D39" s="15">
        <v>901</v>
      </c>
      <c r="E39" s="15">
        <v>80</v>
      </c>
      <c r="F39" s="15">
        <v>2</v>
      </c>
      <c r="G39" s="15">
        <v>12</v>
      </c>
      <c r="H39" s="15">
        <f t="shared" si="6"/>
        <v>24</v>
      </c>
      <c r="I39" s="15">
        <v>2</v>
      </c>
      <c r="J39" s="15">
        <v>12</v>
      </c>
      <c r="K39" s="15">
        <f t="shared" si="7"/>
        <v>24</v>
      </c>
      <c r="L39" s="15">
        <f t="shared" si="8"/>
        <v>0</v>
      </c>
      <c r="M39" s="4"/>
    </row>
    <row r="40" spans="1:13" hidden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4"/>
    </row>
    <row r="41" spans="1:13" hidden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4"/>
    </row>
    <row r="42" spans="1:13" hidden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4"/>
    </row>
    <row r="43" spans="1:13" hidden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4"/>
    </row>
    <row r="44" spans="1:13" hidden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4"/>
    </row>
    <row r="45" spans="1:13" x14ac:dyDescent="0.25">
      <c r="A45" s="13"/>
      <c r="B45" s="13" t="s">
        <v>18</v>
      </c>
      <c r="C45" s="13"/>
      <c r="D45" s="13"/>
      <c r="E45" s="13"/>
      <c r="F45" s="13"/>
      <c r="G45" s="13"/>
      <c r="H45" s="13">
        <f>SUM(H37:H44)</f>
        <v>72</v>
      </c>
      <c r="I45" s="13"/>
      <c r="J45" s="13"/>
      <c r="K45" s="13">
        <f>SUM(K37:K44)</f>
        <v>72</v>
      </c>
      <c r="L45" s="13">
        <f>SUM(L37:L44)</f>
        <v>0</v>
      </c>
      <c r="M45" s="4"/>
    </row>
    <row r="46" spans="1:13" x14ac:dyDescent="0.25">
      <c r="A46" s="38" t="s">
        <v>27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</row>
    <row r="47" spans="1:13" x14ac:dyDescent="0.25">
      <c r="A47" s="15">
        <v>1</v>
      </c>
      <c r="B47" s="15" t="s">
        <v>24</v>
      </c>
      <c r="C47" s="15" t="s">
        <v>25</v>
      </c>
      <c r="D47" s="15">
        <v>912</v>
      </c>
      <c r="E47" s="15">
        <v>80</v>
      </c>
      <c r="F47" s="15">
        <v>2</v>
      </c>
      <c r="G47" s="15">
        <v>12</v>
      </c>
      <c r="H47" s="15">
        <f>+G47*F47</f>
        <v>24</v>
      </c>
      <c r="I47" s="15">
        <v>1</v>
      </c>
      <c r="J47" s="15">
        <v>12</v>
      </c>
      <c r="K47" s="15">
        <f>+J47*I47</f>
        <v>12</v>
      </c>
      <c r="L47" s="15">
        <f>+K47-H47</f>
        <v>-12</v>
      </c>
      <c r="M47" s="4"/>
    </row>
    <row r="48" spans="1:13" x14ac:dyDescent="0.25">
      <c r="A48" s="15">
        <v>2</v>
      </c>
      <c r="B48" s="15" t="s">
        <v>29</v>
      </c>
      <c r="C48" s="15" t="s">
        <v>30</v>
      </c>
      <c r="D48" s="15">
        <v>235</v>
      </c>
      <c r="E48" s="15">
        <v>80</v>
      </c>
      <c r="F48" s="15">
        <v>2</v>
      </c>
      <c r="G48" s="15">
        <v>21</v>
      </c>
      <c r="H48" s="15">
        <f>+G48*F48</f>
        <v>42</v>
      </c>
      <c r="I48" s="15">
        <v>3</v>
      </c>
      <c r="J48" s="15">
        <v>21</v>
      </c>
      <c r="K48" s="15">
        <f>+J48*I48</f>
        <v>63</v>
      </c>
      <c r="L48" s="15">
        <f>+K48-H48</f>
        <v>21</v>
      </c>
      <c r="M48" s="4"/>
    </row>
    <row r="49" spans="1:13" x14ac:dyDescent="0.25">
      <c r="A49" s="15">
        <v>3</v>
      </c>
      <c r="B49" s="15" t="s">
        <v>29</v>
      </c>
      <c r="C49" s="15" t="s">
        <v>30</v>
      </c>
      <c r="D49" s="15">
        <v>274</v>
      </c>
      <c r="E49" s="15">
        <v>80</v>
      </c>
      <c r="F49" s="15">
        <v>2</v>
      </c>
      <c r="G49" s="15">
        <v>21</v>
      </c>
      <c r="H49" s="15">
        <f t="shared" ref="H49:H53" si="9">+G49*F49</f>
        <v>42</v>
      </c>
      <c r="I49" s="15">
        <v>3</v>
      </c>
      <c r="J49" s="15">
        <v>21</v>
      </c>
      <c r="K49" s="15">
        <f t="shared" ref="K49:K53" si="10">+J49*I49</f>
        <v>63</v>
      </c>
      <c r="L49" s="15">
        <f t="shared" ref="L49:L53" si="11">+K49-H49</f>
        <v>21</v>
      </c>
      <c r="M49" s="4"/>
    </row>
    <row r="50" spans="1:13" x14ac:dyDescent="0.25">
      <c r="A50" s="15">
        <v>4</v>
      </c>
      <c r="B50" s="15" t="s">
        <v>29</v>
      </c>
      <c r="C50" s="15" t="s">
        <v>30</v>
      </c>
      <c r="D50" s="15">
        <v>283</v>
      </c>
      <c r="E50" s="15">
        <v>80</v>
      </c>
      <c r="F50" s="15">
        <v>2</v>
      </c>
      <c r="G50" s="15">
        <v>21</v>
      </c>
      <c r="H50" s="15">
        <f t="shared" si="9"/>
        <v>42</v>
      </c>
      <c r="I50" s="15">
        <v>3</v>
      </c>
      <c r="J50" s="15">
        <v>21</v>
      </c>
      <c r="K50" s="15">
        <f t="shared" si="10"/>
        <v>63</v>
      </c>
      <c r="L50" s="15">
        <f t="shared" si="11"/>
        <v>21</v>
      </c>
      <c r="M50" s="4"/>
    </row>
    <row r="51" spans="1:13" x14ac:dyDescent="0.25">
      <c r="A51" s="15">
        <v>5</v>
      </c>
      <c r="B51" s="15" t="s">
        <v>29</v>
      </c>
      <c r="C51" s="15" t="s">
        <v>30</v>
      </c>
      <c r="D51" s="15">
        <v>138</v>
      </c>
      <c r="E51" s="15">
        <v>80</v>
      </c>
      <c r="F51" s="15">
        <v>2</v>
      </c>
      <c r="G51" s="15">
        <v>21</v>
      </c>
      <c r="H51" s="15">
        <f t="shared" si="9"/>
        <v>42</v>
      </c>
      <c r="I51" s="15">
        <v>2</v>
      </c>
      <c r="J51" s="15">
        <v>21</v>
      </c>
      <c r="K51" s="15">
        <f t="shared" si="10"/>
        <v>42</v>
      </c>
      <c r="L51" s="15">
        <f t="shared" si="11"/>
        <v>0</v>
      </c>
      <c r="M51" s="4"/>
    </row>
    <row r="52" spans="1:13" x14ac:dyDescent="0.25">
      <c r="A52" s="15">
        <v>6</v>
      </c>
      <c r="B52" s="15" t="s">
        <v>29</v>
      </c>
      <c r="C52" s="15" t="s">
        <v>30</v>
      </c>
      <c r="D52" s="15">
        <v>984</v>
      </c>
      <c r="E52" s="15">
        <v>80</v>
      </c>
      <c r="F52" s="15">
        <v>2</v>
      </c>
      <c r="G52" s="15">
        <v>21</v>
      </c>
      <c r="H52" s="15">
        <f t="shared" si="9"/>
        <v>42</v>
      </c>
      <c r="I52" s="15">
        <v>2</v>
      </c>
      <c r="J52" s="15">
        <v>21</v>
      </c>
      <c r="K52" s="15">
        <f t="shared" si="10"/>
        <v>42</v>
      </c>
      <c r="L52" s="15">
        <f t="shared" si="11"/>
        <v>0</v>
      </c>
      <c r="M52" s="4"/>
    </row>
    <row r="53" spans="1:13" x14ac:dyDescent="0.25">
      <c r="A53" s="15">
        <v>7</v>
      </c>
      <c r="B53" s="15" t="s">
        <v>29</v>
      </c>
      <c r="C53" s="15" t="s">
        <v>30</v>
      </c>
      <c r="D53" s="15">
        <v>291</v>
      </c>
      <c r="E53" s="15">
        <v>80</v>
      </c>
      <c r="F53" s="15">
        <v>2</v>
      </c>
      <c r="G53" s="15">
        <v>21</v>
      </c>
      <c r="H53" s="15">
        <f t="shared" si="9"/>
        <v>42</v>
      </c>
      <c r="I53" s="15">
        <v>2</v>
      </c>
      <c r="J53" s="15">
        <v>21</v>
      </c>
      <c r="K53" s="15">
        <f t="shared" si="10"/>
        <v>42</v>
      </c>
      <c r="L53" s="15">
        <f t="shared" si="11"/>
        <v>0</v>
      </c>
      <c r="M53" s="4"/>
    </row>
    <row r="54" spans="1:13" x14ac:dyDescent="0.25">
      <c r="A54" s="13"/>
      <c r="B54" s="13" t="s">
        <v>18</v>
      </c>
      <c r="C54" s="13"/>
      <c r="D54" s="13"/>
      <c r="E54" s="13"/>
      <c r="F54" s="13"/>
      <c r="G54" s="13"/>
      <c r="H54" s="13">
        <f>SUM(H47:H53)</f>
        <v>276</v>
      </c>
      <c r="I54" s="13"/>
      <c r="J54" s="13"/>
      <c r="K54" s="13">
        <f>SUM(K47:K53)</f>
        <v>327</v>
      </c>
      <c r="L54" s="13">
        <f>SUM(L47:L53)</f>
        <v>51</v>
      </c>
      <c r="M54" s="4"/>
    </row>
    <row r="55" spans="1:13" x14ac:dyDescent="0.25">
      <c r="A55" s="38" t="s">
        <v>37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</row>
    <row r="56" spans="1:13" x14ac:dyDescent="0.25">
      <c r="A56" s="21">
        <v>1</v>
      </c>
      <c r="B56" s="21" t="s">
        <v>16</v>
      </c>
      <c r="C56" s="21" t="s">
        <v>17</v>
      </c>
      <c r="D56" s="21">
        <v>976</v>
      </c>
      <c r="E56" s="21">
        <v>35</v>
      </c>
      <c r="F56" s="21">
        <v>3</v>
      </c>
      <c r="G56" s="21">
        <v>28</v>
      </c>
      <c r="H56" s="21">
        <f>+G56*F56</f>
        <v>84</v>
      </c>
      <c r="I56" s="21">
        <v>3</v>
      </c>
      <c r="J56" s="21"/>
      <c r="K56" s="21">
        <v>112.34</v>
      </c>
      <c r="L56" s="21">
        <f>+K56-H56</f>
        <v>28.340000000000003</v>
      </c>
      <c r="M56" s="4"/>
    </row>
    <row r="57" spans="1:13" x14ac:dyDescent="0.25">
      <c r="A57" s="21">
        <v>2</v>
      </c>
      <c r="B57" s="21" t="s">
        <v>16</v>
      </c>
      <c r="C57" s="21" t="s">
        <v>17</v>
      </c>
      <c r="D57" s="21">
        <v>708</v>
      </c>
      <c r="E57" s="21">
        <v>35</v>
      </c>
      <c r="F57" s="21">
        <v>3</v>
      </c>
      <c r="G57" s="21">
        <v>28</v>
      </c>
      <c r="H57" s="21">
        <f>+G57*F57</f>
        <v>84</v>
      </c>
      <c r="I57" s="21">
        <v>3</v>
      </c>
      <c r="J57" s="21"/>
      <c r="K57" s="21">
        <v>84.57</v>
      </c>
      <c r="L57" s="21">
        <f>+K57-H57</f>
        <v>0.56999999999999318</v>
      </c>
      <c r="M57" s="4"/>
    </row>
    <row r="58" spans="1:13" x14ac:dyDescent="0.25">
      <c r="A58" s="21">
        <v>3</v>
      </c>
      <c r="B58" s="21" t="s">
        <v>16</v>
      </c>
      <c r="C58" s="21" t="s">
        <v>17</v>
      </c>
      <c r="D58" s="21">
        <v>797</v>
      </c>
      <c r="E58" s="21">
        <v>35</v>
      </c>
      <c r="F58" s="21">
        <v>3</v>
      </c>
      <c r="G58" s="21">
        <v>28</v>
      </c>
      <c r="H58" s="21">
        <f t="shared" ref="H58:H64" si="12">+G58*F58</f>
        <v>84</v>
      </c>
      <c r="I58" s="21">
        <v>3</v>
      </c>
      <c r="J58" s="21"/>
      <c r="K58" s="21">
        <v>112.66</v>
      </c>
      <c r="L58" s="21">
        <f t="shared" ref="L58:L64" si="13">+K58-H58</f>
        <v>28.659999999999997</v>
      </c>
      <c r="M58" s="4"/>
    </row>
    <row r="59" spans="1:13" x14ac:dyDescent="0.25">
      <c r="A59" s="21">
        <v>4</v>
      </c>
      <c r="B59" s="21" t="s">
        <v>16</v>
      </c>
      <c r="C59" s="21" t="s">
        <v>17</v>
      </c>
      <c r="D59" s="21">
        <v>274</v>
      </c>
      <c r="E59" s="21">
        <v>35</v>
      </c>
      <c r="F59" s="21">
        <v>3</v>
      </c>
      <c r="G59" s="21">
        <v>28</v>
      </c>
      <c r="H59" s="21">
        <f t="shared" si="12"/>
        <v>84</v>
      </c>
      <c r="I59" s="21">
        <v>3</v>
      </c>
      <c r="J59" s="21"/>
      <c r="K59" s="21">
        <v>84.76</v>
      </c>
      <c r="L59" s="21">
        <f t="shared" si="13"/>
        <v>0.76000000000000512</v>
      </c>
      <c r="M59" s="4"/>
    </row>
    <row r="60" spans="1:13" x14ac:dyDescent="0.25">
      <c r="A60" s="21">
        <v>5</v>
      </c>
      <c r="B60" s="21" t="s">
        <v>16</v>
      </c>
      <c r="C60" s="21" t="s">
        <v>17</v>
      </c>
      <c r="D60" s="21">
        <v>365</v>
      </c>
      <c r="E60" s="21">
        <v>35</v>
      </c>
      <c r="F60" s="21">
        <v>3</v>
      </c>
      <c r="G60" s="21">
        <v>28</v>
      </c>
      <c r="H60" s="21">
        <f t="shared" ref="H60:H62" si="14">+G60*F60</f>
        <v>84</v>
      </c>
      <c r="I60" s="21">
        <v>2</v>
      </c>
      <c r="J60" s="21"/>
      <c r="K60" s="21">
        <v>56.25</v>
      </c>
      <c r="L60" s="21">
        <f t="shared" ref="L60:L62" si="15">+K60-H60</f>
        <v>-27.75</v>
      </c>
      <c r="M60" s="4"/>
    </row>
    <row r="61" spans="1:13" x14ac:dyDescent="0.25">
      <c r="A61" s="21">
        <v>6</v>
      </c>
      <c r="B61" s="21" t="s">
        <v>16</v>
      </c>
      <c r="C61" s="21" t="s">
        <v>17</v>
      </c>
      <c r="D61" s="21">
        <v>428</v>
      </c>
      <c r="E61" s="21">
        <v>35</v>
      </c>
      <c r="F61" s="21">
        <v>3</v>
      </c>
      <c r="G61" s="21">
        <v>28</v>
      </c>
      <c r="H61" s="21">
        <f t="shared" si="14"/>
        <v>84</v>
      </c>
      <c r="I61" s="21">
        <v>3</v>
      </c>
      <c r="J61" s="21"/>
      <c r="K61" s="21">
        <v>84.27</v>
      </c>
      <c r="L61" s="21">
        <f t="shared" si="15"/>
        <v>0.26999999999999602</v>
      </c>
      <c r="M61" s="4"/>
    </row>
    <row r="62" spans="1:13" x14ac:dyDescent="0.25">
      <c r="A62" s="21">
        <v>7</v>
      </c>
      <c r="B62" s="21" t="s">
        <v>16</v>
      </c>
      <c r="C62" s="21" t="s">
        <v>17</v>
      </c>
      <c r="D62" s="21">
        <v>796</v>
      </c>
      <c r="E62" s="21">
        <v>35</v>
      </c>
      <c r="F62" s="21">
        <v>3</v>
      </c>
      <c r="G62" s="21">
        <v>28</v>
      </c>
      <c r="H62" s="21">
        <f t="shared" si="14"/>
        <v>84</v>
      </c>
      <c r="I62" s="21">
        <v>2</v>
      </c>
      <c r="J62" s="21"/>
      <c r="K62" s="21">
        <v>56.21</v>
      </c>
      <c r="L62" s="21">
        <f t="shared" si="15"/>
        <v>-27.79</v>
      </c>
      <c r="M62" s="4"/>
    </row>
    <row r="63" spans="1:13" x14ac:dyDescent="0.25">
      <c r="A63" s="21">
        <v>8</v>
      </c>
      <c r="B63" s="21" t="s">
        <v>16</v>
      </c>
      <c r="C63" s="21" t="s">
        <v>17</v>
      </c>
      <c r="D63" s="21">
        <v>476</v>
      </c>
      <c r="E63" s="21">
        <v>35</v>
      </c>
      <c r="F63" s="21">
        <v>3</v>
      </c>
      <c r="G63" s="21">
        <v>28</v>
      </c>
      <c r="H63" s="21">
        <f t="shared" si="12"/>
        <v>84</v>
      </c>
      <c r="I63" s="21">
        <v>3</v>
      </c>
      <c r="J63" s="21"/>
      <c r="K63" s="21">
        <v>84.61</v>
      </c>
      <c r="L63" s="21">
        <f t="shared" si="13"/>
        <v>0.60999999999999943</v>
      </c>
      <c r="M63" s="4"/>
    </row>
    <row r="64" spans="1:13" x14ac:dyDescent="0.25">
      <c r="A64" s="21">
        <v>9</v>
      </c>
      <c r="B64" s="21" t="s">
        <v>16</v>
      </c>
      <c r="C64" s="21" t="s">
        <v>17</v>
      </c>
      <c r="D64" s="21">
        <v>564</v>
      </c>
      <c r="E64" s="21">
        <v>35</v>
      </c>
      <c r="F64" s="21">
        <v>3</v>
      </c>
      <c r="G64" s="21">
        <v>28</v>
      </c>
      <c r="H64" s="21">
        <f t="shared" si="12"/>
        <v>84</v>
      </c>
      <c r="I64" s="21">
        <v>3</v>
      </c>
      <c r="J64" s="21"/>
      <c r="K64" s="21">
        <v>84.66</v>
      </c>
      <c r="L64" s="21">
        <f t="shared" si="13"/>
        <v>0.65999999999999659</v>
      </c>
      <c r="M64" s="4"/>
    </row>
    <row r="65" spans="1:13" x14ac:dyDescent="0.25">
      <c r="A65" s="20"/>
      <c r="B65" s="20" t="s">
        <v>18</v>
      </c>
      <c r="C65" s="20"/>
      <c r="D65" s="20"/>
      <c r="E65" s="20"/>
      <c r="F65" s="20"/>
      <c r="G65" s="20"/>
      <c r="H65" s="20">
        <f>SUM(H56:H64)</f>
        <v>756</v>
      </c>
      <c r="I65" s="20"/>
      <c r="J65" s="20"/>
      <c r="K65" s="20">
        <f>SUM(K56:K64)</f>
        <v>760.33</v>
      </c>
      <c r="L65" s="20">
        <f>SUM(L56:L64)</f>
        <v>4.3299999999999912</v>
      </c>
      <c r="M65" s="25" t="s">
        <v>38</v>
      </c>
    </row>
    <row r="66" spans="1:13" x14ac:dyDescent="0.25">
      <c r="A66" s="38" t="s">
        <v>35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</row>
    <row r="67" spans="1:13" x14ac:dyDescent="0.25">
      <c r="A67" s="21">
        <v>1</v>
      </c>
      <c r="B67" s="21" t="s">
        <v>24</v>
      </c>
      <c r="C67" s="21" t="s">
        <v>25</v>
      </c>
      <c r="D67" s="21">
        <v>235</v>
      </c>
      <c r="E67" s="21">
        <v>80</v>
      </c>
      <c r="F67" s="21">
        <v>2</v>
      </c>
      <c r="G67" s="21">
        <v>12</v>
      </c>
      <c r="H67" s="21">
        <f>+G67*F67</f>
        <v>24</v>
      </c>
      <c r="I67" s="21">
        <v>1</v>
      </c>
      <c r="J67" s="21">
        <v>12</v>
      </c>
      <c r="K67" s="21">
        <f>+J67*I67</f>
        <v>12</v>
      </c>
      <c r="L67" s="21">
        <f>+K67-H67</f>
        <v>-12</v>
      </c>
      <c r="M67" s="4"/>
    </row>
    <row r="68" spans="1:13" x14ac:dyDescent="0.25">
      <c r="A68" s="21">
        <v>2</v>
      </c>
      <c r="B68" s="21" t="s">
        <v>24</v>
      </c>
      <c r="C68" s="21" t="s">
        <v>25</v>
      </c>
      <c r="D68" s="21">
        <v>354</v>
      </c>
      <c r="E68" s="21">
        <v>80</v>
      </c>
      <c r="F68" s="21">
        <v>2</v>
      </c>
      <c r="G68" s="21">
        <v>12</v>
      </c>
      <c r="H68" s="21">
        <f>+G68*F68</f>
        <v>24</v>
      </c>
      <c r="I68" s="21">
        <v>1</v>
      </c>
      <c r="J68" s="21">
        <v>21</v>
      </c>
      <c r="K68" s="21">
        <f>+J68*I68</f>
        <v>21</v>
      </c>
      <c r="L68" s="21">
        <f>+K68-H68</f>
        <v>-3</v>
      </c>
      <c r="M68" s="4"/>
    </row>
    <row r="69" spans="1:13" x14ac:dyDescent="0.25">
      <c r="A69" s="21">
        <v>3</v>
      </c>
      <c r="B69" s="21" t="s">
        <v>24</v>
      </c>
      <c r="C69" s="21" t="s">
        <v>25</v>
      </c>
      <c r="D69" s="21">
        <v>928</v>
      </c>
      <c r="E69" s="21">
        <v>80</v>
      </c>
      <c r="F69" s="21">
        <v>2</v>
      </c>
      <c r="G69" s="21">
        <v>12</v>
      </c>
      <c r="H69" s="21">
        <f t="shared" ref="H69" si="16">+G69*F69</f>
        <v>24</v>
      </c>
      <c r="I69" s="21">
        <v>1</v>
      </c>
      <c r="J69" s="21">
        <v>21</v>
      </c>
      <c r="K69" s="21">
        <f t="shared" ref="K69" si="17">+J69*I69</f>
        <v>21</v>
      </c>
      <c r="L69" s="21">
        <f t="shared" ref="L69" si="18">+K69-H69</f>
        <v>-3</v>
      </c>
      <c r="M69" s="4"/>
    </row>
    <row r="70" spans="1:13" x14ac:dyDescent="0.25">
      <c r="A70" s="20"/>
      <c r="B70" s="20" t="s">
        <v>18</v>
      </c>
      <c r="C70" s="20"/>
      <c r="D70" s="20"/>
      <c r="E70" s="20"/>
      <c r="F70" s="20"/>
      <c r="G70" s="20"/>
      <c r="H70" s="20">
        <f>SUM(H67:H69)</f>
        <v>72</v>
      </c>
      <c r="I70" s="20"/>
      <c r="J70" s="20"/>
      <c r="K70" s="20">
        <f>SUM(K67:K69)</f>
        <v>54</v>
      </c>
      <c r="L70" s="20">
        <f>SUM(L67:L69)</f>
        <v>-18</v>
      </c>
      <c r="M70" s="4"/>
    </row>
    <row r="71" spans="1:13" x14ac:dyDescent="0.25">
      <c r="A71" s="43" t="s">
        <v>31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5"/>
    </row>
    <row r="72" spans="1:13" x14ac:dyDescent="0.25">
      <c r="A72" s="38" t="s">
        <v>27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</row>
    <row r="73" spans="1:13" x14ac:dyDescent="0.25">
      <c r="A73" s="15">
        <v>1</v>
      </c>
      <c r="B73" s="15" t="s">
        <v>29</v>
      </c>
      <c r="C73" s="15" t="s">
        <v>30</v>
      </c>
      <c r="D73" s="15">
        <v>291</v>
      </c>
      <c r="E73" s="21">
        <v>80</v>
      </c>
      <c r="F73" s="21">
        <v>2</v>
      </c>
      <c r="G73" s="21">
        <v>21</v>
      </c>
      <c r="H73" s="21">
        <f t="shared" ref="H73:H78" si="19">+G73*F73</f>
        <v>42</v>
      </c>
      <c r="I73" s="21">
        <v>2</v>
      </c>
      <c r="J73" s="21">
        <v>21</v>
      </c>
      <c r="K73" s="21">
        <f t="shared" ref="K73:K78" si="20">+J73*I73</f>
        <v>42</v>
      </c>
      <c r="L73" s="21">
        <f t="shared" ref="L73:L78" si="21">+K73-H73</f>
        <v>0</v>
      </c>
      <c r="M73" s="4"/>
    </row>
    <row r="74" spans="1:13" x14ac:dyDescent="0.25">
      <c r="A74" s="15">
        <v>2</v>
      </c>
      <c r="B74" s="15" t="s">
        <v>29</v>
      </c>
      <c r="C74" s="15" t="s">
        <v>30</v>
      </c>
      <c r="D74" s="15">
        <v>427</v>
      </c>
      <c r="E74" s="21">
        <v>80</v>
      </c>
      <c r="F74" s="21">
        <v>2</v>
      </c>
      <c r="G74" s="21">
        <v>21</v>
      </c>
      <c r="H74" s="21">
        <f t="shared" si="19"/>
        <v>42</v>
      </c>
      <c r="I74" s="21">
        <v>1</v>
      </c>
      <c r="J74" s="21">
        <v>21</v>
      </c>
      <c r="K74" s="21">
        <f t="shared" si="20"/>
        <v>21</v>
      </c>
      <c r="L74" s="21">
        <f t="shared" si="21"/>
        <v>-21</v>
      </c>
      <c r="M74" s="4"/>
    </row>
    <row r="75" spans="1:13" x14ac:dyDescent="0.25">
      <c r="A75" s="15">
        <v>3</v>
      </c>
      <c r="B75" s="15" t="s">
        <v>29</v>
      </c>
      <c r="C75" s="15" t="s">
        <v>30</v>
      </c>
      <c r="D75" s="15">
        <v>984</v>
      </c>
      <c r="E75" s="21">
        <v>80</v>
      </c>
      <c r="F75" s="21">
        <v>2</v>
      </c>
      <c r="G75" s="21">
        <v>21</v>
      </c>
      <c r="H75" s="21">
        <f t="shared" si="19"/>
        <v>42</v>
      </c>
      <c r="I75" s="21">
        <v>2</v>
      </c>
      <c r="J75" s="21">
        <v>21</v>
      </c>
      <c r="K75" s="21">
        <f t="shared" si="20"/>
        <v>42</v>
      </c>
      <c r="L75" s="21">
        <f t="shared" si="21"/>
        <v>0</v>
      </c>
      <c r="M75" s="4"/>
    </row>
    <row r="76" spans="1:13" x14ac:dyDescent="0.25">
      <c r="A76" s="15">
        <v>4</v>
      </c>
      <c r="B76" s="15" t="s">
        <v>32</v>
      </c>
      <c r="C76" s="15" t="s">
        <v>33</v>
      </c>
      <c r="D76" s="15">
        <v>869</v>
      </c>
      <c r="E76" s="21">
        <v>88</v>
      </c>
      <c r="F76" s="21">
        <v>2</v>
      </c>
      <c r="G76" s="21">
        <v>24</v>
      </c>
      <c r="H76" s="21">
        <f t="shared" si="19"/>
        <v>48</v>
      </c>
      <c r="I76" s="21">
        <v>1</v>
      </c>
      <c r="J76" s="21">
        <v>24</v>
      </c>
      <c r="K76" s="21">
        <f t="shared" si="20"/>
        <v>24</v>
      </c>
      <c r="L76" s="21">
        <f t="shared" si="21"/>
        <v>-24</v>
      </c>
      <c r="M76" s="4"/>
    </row>
    <row r="77" spans="1:13" x14ac:dyDescent="0.25">
      <c r="A77" s="15">
        <v>5</v>
      </c>
      <c r="B77" s="15" t="s">
        <v>32</v>
      </c>
      <c r="C77" s="15" t="s">
        <v>33</v>
      </c>
      <c r="D77" s="15">
        <v>74</v>
      </c>
      <c r="E77" s="21">
        <v>88</v>
      </c>
      <c r="F77" s="21">
        <v>2</v>
      </c>
      <c r="G77" s="21">
        <v>12</v>
      </c>
      <c r="H77" s="21">
        <f t="shared" si="19"/>
        <v>24</v>
      </c>
      <c r="I77" s="21">
        <v>3</v>
      </c>
      <c r="J77" s="21">
        <v>12</v>
      </c>
      <c r="K77" s="21">
        <f t="shared" si="20"/>
        <v>36</v>
      </c>
      <c r="L77" s="21">
        <f t="shared" si="21"/>
        <v>12</v>
      </c>
      <c r="M77" s="4"/>
    </row>
    <row r="78" spans="1:13" x14ac:dyDescent="0.25">
      <c r="A78" s="15">
        <v>6</v>
      </c>
      <c r="B78" s="15" t="s">
        <v>32</v>
      </c>
      <c r="C78" s="15" t="s">
        <v>33</v>
      </c>
      <c r="D78" s="15">
        <v>426</v>
      </c>
      <c r="E78" s="21">
        <v>88</v>
      </c>
      <c r="F78" s="21">
        <v>2</v>
      </c>
      <c r="G78" s="21">
        <v>12</v>
      </c>
      <c r="H78" s="21">
        <f t="shared" si="19"/>
        <v>24</v>
      </c>
      <c r="I78" s="21">
        <v>3</v>
      </c>
      <c r="J78" s="21">
        <v>12</v>
      </c>
      <c r="K78" s="21">
        <f t="shared" si="20"/>
        <v>36</v>
      </c>
      <c r="L78" s="21">
        <f t="shared" si="21"/>
        <v>12</v>
      </c>
      <c r="M78" s="4"/>
    </row>
    <row r="79" spans="1:13" hidden="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4"/>
    </row>
    <row r="80" spans="1:13" hidden="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4"/>
    </row>
    <row r="81" spans="1:13" hidden="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4"/>
    </row>
    <row r="82" spans="1:13" hidden="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4"/>
    </row>
    <row r="83" spans="1:13" hidden="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4"/>
    </row>
    <row r="84" spans="1:13" x14ac:dyDescent="0.25">
      <c r="A84" s="13"/>
      <c r="B84" s="13" t="s">
        <v>18</v>
      </c>
      <c r="C84" s="13"/>
      <c r="D84" s="13"/>
      <c r="E84" s="13"/>
      <c r="F84" s="13"/>
      <c r="G84" s="13"/>
      <c r="H84" s="13">
        <f>SUM(H73:H83)</f>
        <v>222</v>
      </c>
      <c r="I84" s="13"/>
      <c r="J84" s="13"/>
      <c r="K84" s="13">
        <f>SUM(K73:K83)</f>
        <v>201</v>
      </c>
      <c r="L84" s="13">
        <f>SUM(L73:L83)</f>
        <v>-21</v>
      </c>
      <c r="M84" s="4"/>
    </row>
  </sheetData>
  <mergeCells count="20">
    <mergeCell ref="A16:M16"/>
    <mergeCell ref="A55:M55"/>
    <mergeCell ref="A46:M46"/>
    <mergeCell ref="A71:M71"/>
    <mergeCell ref="A72:M72"/>
    <mergeCell ref="A36:M36"/>
    <mergeCell ref="A25:M25"/>
    <mergeCell ref="A66:M66"/>
    <mergeCell ref="I2:K2"/>
    <mergeCell ref="L2:L3"/>
    <mergeCell ref="M2:M4"/>
    <mergeCell ref="A5:M5"/>
    <mergeCell ref="A11:M11"/>
    <mergeCell ref="A2:A4"/>
    <mergeCell ref="B2:B4"/>
    <mergeCell ref="C2:C4"/>
    <mergeCell ref="D2:D4"/>
    <mergeCell ref="E2:E3"/>
    <mergeCell ref="F2:H2"/>
    <mergeCell ref="A6:M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144E-97B9-47D4-863C-FDF2D0028E94}">
  <dimension ref="A1:M91"/>
  <sheetViews>
    <sheetView zoomScaleNormal="100" workbookViewId="0">
      <pane ySplit="4" topLeftCell="A5" activePane="bottomLeft" state="frozen"/>
      <selection pane="bottomLeft" activeCell="G12" sqref="G12"/>
    </sheetView>
  </sheetViews>
  <sheetFormatPr defaultRowHeight="15" x14ac:dyDescent="0.25"/>
  <cols>
    <col min="1" max="1" width="9.140625" style="6"/>
    <col min="2" max="2" width="11.5703125" style="6" bestFit="1" customWidth="1"/>
    <col min="3" max="3" width="11.7109375" style="6" bestFit="1" customWidth="1"/>
    <col min="4" max="4" width="9.140625" style="6"/>
    <col min="5" max="5" width="10.42578125" style="6" bestFit="1" customWidth="1"/>
    <col min="6" max="12" width="9.140625" style="6"/>
    <col min="13" max="13" width="29" style="6" customWidth="1"/>
    <col min="14" max="16384" width="9.140625" style="6"/>
  </cols>
  <sheetData>
    <row r="1" spans="1:13" x14ac:dyDescent="0.25">
      <c r="M1" s="12">
        <v>46281</v>
      </c>
    </row>
    <row r="2" spans="1:13" x14ac:dyDescent="0.25">
      <c r="A2" s="40" t="s">
        <v>0</v>
      </c>
      <c r="B2" s="41" t="s">
        <v>1</v>
      </c>
      <c r="C2" s="42" t="s">
        <v>2</v>
      </c>
      <c r="D2" s="42" t="s">
        <v>3</v>
      </c>
      <c r="E2" s="41" t="s">
        <v>4</v>
      </c>
      <c r="F2" s="39" t="s">
        <v>19</v>
      </c>
      <c r="G2" s="39"/>
      <c r="H2" s="39"/>
      <c r="I2" s="39" t="s">
        <v>20</v>
      </c>
      <c r="J2" s="39"/>
      <c r="K2" s="39"/>
      <c r="L2" s="40" t="s">
        <v>10</v>
      </c>
      <c r="M2" s="40" t="s">
        <v>11</v>
      </c>
    </row>
    <row r="3" spans="1:13" ht="45" x14ac:dyDescent="0.25">
      <c r="A3" s="40"/>
      <c r="B3" s="41"/>
      <c r="C3" s="42"/>
      <c r="D3" s="42"/>
      <c r="E3" s="41"/>
      <c r="F3" s="27" t="s">
        <v>5</v>
      </c>
      <c r="G3" s="27" t="s">
        <v>6</v>
      </c>
      <c r="H3" s="27" t="s">
        <v>7</v>
      </c>
      <c r="I3" s="27" t="s">
        <v>8</v>
      </c>
      <c r="J3" s="27" t="s">
        <v>6</v>
      </c>
      <c r="K3" s="27" t="s">
        <v>9</v>
      </c>
      <c r="L3" s="40"/>
      <c r="M3" s="40"/>
    </row>
    <row r="4" spans="1:13" x14ac:dyDescent="0.25">
      <c r="A4" s="40"/>
      <c r="B4" s="41"/>
      <c r="C4" s="42"/>
      <c r="D4" s="42"/>
      <c r="E4" s="28" t="s">
        <v>12</v>
      </c>
      <c r="F4" s="27" t="s">
        <v>13</v>
      </c>
      <c r="G4" s="3" t="s">
        <v>14</v>
      </c>
      <c r="H4" s="27" t="s">
        <v>14</v>
      </c>
      <c r="I4" s="27" t="s">
        <v>13</v>
      </c>
      <c r="J4" s="3" t="s">
        <v>14</v>
      </c>
      <c r="K4" s="27" t="s">
        <v>14</v>
      </c>
      <c r="L4" s="27" t="s">
        <v>14</v>
      </c>
      <c r="M4" s="40"/>
    </row>
    <row r="5" spans="1:13" x14ac:dyDescent="0.25">
      <c r="A5" s="43" t="s">
        <v>15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</row>
    <row r="6" spans="1:13" hidden="1" x14ac:dyDescent="0.25">
      <c r="A6" s="46" t="s">
        <v>39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8"/>
    </row>
    <row r="7" spans="1:13" hidden="1" x14ac:dyDescent="0.25">
      <c r="A7" s="28">
        <v>1</v>
      </c>
      <c r="B7" s="28" t="s">
        <v>16</v>
      </c>
      <c r="C7" s="28" t="s">
        <v>17</v>
      </c>
      <c r="D7" s="28">
        <v>498</v>
      </c>
      <c r="E7" s="28">
        <v>6</v>
      </c>
      <c r="F7" s="28"/>
      <c r="G7" s="28">
        <v>12</v>
      </c>
      <c r="H7" s="28">
        <f>+G7*F7</f>
        <v>0</v>
      </c>
      <c r="I7" s="28"/>
      <c r="J7" s="28">
        <v>12</v>
      </c>
      <c r="K7" s="28">
        <f>+J7*I7</f>
        <v>0</v>
      </c>
      <c r="L7" s="28">
        <f>+K7-H7</f>
        <v>0</v>
      </c>
      <c r="M7" s="4"/>
    </row>
    <row r="8" spans="1:13" hidden="1" x14ac:dyDescent="0.25">
      <c r="A8" s="28">
        <v>2</v>
      </c>
      <c r="B8" s="28" t="s">
        <v>16</v>
      </c>
      <c r="C8" s="28" t="s">
        <v>17</v>
      </c>
      <c r="D8" s="28">
        <v>537</v>
      </c>
      <c r="E8" s="28">
        <v>6</v>
      </c>
      <c r="F8" s="28"/>
      <c r="G8" s="28">
        <v>12</v>
      </c>
      <c r="H8" s="28">
        <f>+G8*F8</f>
        <v>0</v>
      </c>
      <c r="I8" s="28"/>
      <c r="J8" s="28">
        <v>12</v>
      </c>
      <c r="K8" s="28">
        <f>+J8*I8</f>
        <v>0</v>
      </c>
      <c r="L8" s="28">
        <f>+K8-H8</f>
        <v>0</v>
      </c>
      <c r="M8" s="4"/>
    </row>
    <row r="9" spans="1:13" hidden="1" x14ac:dyDescent="0.25">
      <c r="A9" s="28">
        <v>3</v>
      </c>
      <c r="B9" s="28" t="s">
        <v>16</v>
      </c>
      <c r="C9" s="28" t="s">
        <v>17</v>
      </c>
      <c r="D9" s="10">
        <v>525</v>
      </c>
      <c r="E9" s="28">
        <v>6</v>
      </c>
      <c r="F9" s="28"/>
      <c r="G9" s="28">
        <v>12</v>
      </c>
      <c r="H9" s="28">
        <f>+G9*F9</f>
        <v>0</v>
      </c>
      <c r="I9" s="28"/>
      <c r="J9" s="28">
        <v>12</v>
      </c>
      <c r="K9" s="28">
        <f>+J9*I9</f>
        <v>0</v>
      </c>
      <c r="L9" s="28">
        <f>+K9-H9</f>
        <v>0</v>
      </c>
      <c r="M9" s="4"/>
    </row>
    <row r="10" spans="1:13" hidden="1" x14ac:dyDescent="0.25">
      <c r="A10" s="26"/>
      <c r="B10" s="26" t="s">
        <v>18</v>
      </c>
      <c r="C10" s="26"/>
      <c r="D10" s="26"/>
      <c r="E10" s="26"/>
      <c r="F10" s="26"/>
      <c r="G10" s="26"/>
      <c r="H10" s="26">
        <f>SUM(H7:H9)</f>
        <v>0</v>
      </c>
      <c r="I10" s="26"/>
      <c r="J10" s="26"/>
      <c r="K10" s="26">
        <f>SUM(K7:K9)</f>
        <v>0</v>
      </c>
      <c r="L10" s="26">
        <f>SUM(L7:L9)</f>
        <v>0</v>
      </c>
      <c r="M10" s="4"/>
    </row>
    <row r="11" spans="1:13" x14ac:dyDescent="0.25">
      <c r="A11" s="46" t="s">
        <v>21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8"/>
    </row>
    <row r="12" spans="1:13" x14ac:dyDescent="0.25">
      <c r="A12" s="28">
        <v>1</v>
      </c>
      <c r="B12" s="28" t="s">
        <v>16</v>
      </c>
      <c r="C12" s="28" t="s">
        <v>17</v>
      </c>
      <c r="D12" s="28">
        <v>498</v>
      </c>
      <c r="E12" s="28">
        <v>32</v>
      </c>
      <c r="F12" s="28">
        <v>1</v>
      </c>
      <c r="G12" s="28">
        <v>12</v>
      </c>
      <c r="H12" s="28">
        <f>+G12*F12</f>
        <v>12</v>
      </c>
      <c r="I12" s="28">
        <v>1</v>
      </c>
      <c r="J12" s="28">
        <v>12</v>
      </c>
      <c r="K12" s="28">
        <f>+J12*I12</f>
        <v>12</v>
      </c>
      <c r="L12" s="28">
        <f>+K12-H12</f>
        <v>0</v>
      </c>
      <c r="M12" s="4"/>
    </row>
    <row r="13" spans="1:13" x14ac:dyDescent="0.25">
      <c r="A13" s="28">
        <v>2</v>
      </c>
      <c r="B13" s="28" t="s">
        <v>16</v>
      </c>
      <c r="C13" s="28" t="s">
        <v>17</v>
      </c>
      <c r="D13" s="28">
        <v>367</v>
      </c>
      <c r="E13" s="28">
        <v>32</v>
      </c>
      <c r="F13" s="28">
        <v>1</v>
      </c>
      <c r="G13" s="28">
        <v>12</v>
      </c>
      <c r="H13" s="28">
        <f>+G13*F13</f>
        <v>12</v>
      </c>
      <c r="I13" s="28">
        <v>2</v>
      </c>
      <c r="J13" s="28">
        <v>12</v>
      </c>
      <c r="K13" s="28">
        <f>+J13*I13</f>
        <v>24</v>
      </c>
      <c r="L13" s="28">
        <f>+K13-H13</f>
        <v>12</v>
      </c>
      <c r="M13" s="4"/>
    </row>
    <row r="14" spans="1:13" x14ac:dyDescent="0.25">
      <c r="A14" s="28">
        <v>3</v>
      </c>
      <c r="B14" s="28" t="s">
        <v>16</v>
      </c>
      <c r="C14" s="28" t="s">
        <v>17</v>
      </c>
      <c r="D14" s="28">
        <v>457</v>
      </c>
      <c r="E14" s="28">
        <v>32</v>
      </c>
      <c r="F14" s="28">
        <v>1</v>
      </c>
      <c r="G14" s="28">
        <v>12</v>
      </c>
      <c r="H14" s="28">
        <f>+G14*F14</f>
        <v>12</v>
      </c>
      <c r="I14" s="28">
        <v>2</v>
      </c>
      <c r="J14" s="28">
        <v>12</v>
      </c>
      <c r="K14" s="28">
        <f>+J14*I14</f>
        <v>24</v>
      </c>
      <c r="L14" s="28">
        <f>+K14-H14</f>
        <v>12</v>
      </c>
      <c r="M14" s="4"/>
    </row>
    <row r="15" spans="1:13" x14ac:dyDescent="0.25">
      <c r="A15" s="28">
        <v>4</v>
      </c>
      <c r="B15" s="28" t="s">
        <v>16</v>
      </c>
      <c r="C15" s="28" t="s">
        <v>17</v>
      </c>
      <c r="D15" s="28">
        <v>537</v>
      </c>
      <c r="E15" s="28">
        <v>32</v>
      </c>
      <c r="F15" s="28">
        <v>1</v>
      </c>
      <c r="G15" s="28">
        <v>12</v>
      </c>
      <c r="H15" s="28">
        <f t="shared" ref="H15:H17" si="0">+G15*F15</f>
        <v>12</v>
      </c>
      <c r="I15" s="28">
        <v>1</v>
      </c>
      <c r="J15" s="28">
        <v>12</v>
      </c>
      <c r="K15" s="28">
        <f t="shared" ref="K15:K17" si="1">+J15*I15</f>
        <v>12</v>
      </c>
      <c r="L15" s="28">
        <f t="shared" ref="L15:L17" si="2">+K15-H15</f>
        <v>0</v>
      </c>
      <c r="M15" s="4"/>
    </row>
    <row r="16" spans="1:13" x14ac:dyDescent="0.25">
      <c r="A16" s="28">
        <v>5</v>
      </c>
      <c r="B16" s="28" t="s">
        <v>16</v>
      </c>
      <c r="C16" s="28" t="s">
        <v>17</v>
      </c>
      <c r="D16" s="28">
        <v>498</v>
      </c>
      <c r="E16" s="28">
        <v>32</v>
      </c>
      <c r="F16" s="28">
        <v>1</v>
      </c>
      <c r="G16" s="28">
        <v>12</v>
      </c>
      <c r="H16" s="28">
        <f t="shared" si="0"/>
        <v>12</v>
      </c>
      <c r="I16" s="28">
        <v>1</v>
      </c>
      <c r="J16" s="28">
        <v>12</v>
      </c>
      <c r="K16" s="28">
        <f t="shared" si="1"/>
        <v>12</v>
      </c>
      <c r="L16" s="28">
        <f t="shared" si="2"/>
        <v>0</v>
      </c>
      <c r="M16" s="4"/>
    </row>
    <row r="17" spans="1:13" x14ac:dyDescent="0.25">
      <c r="A17" s="28">
        <v>6</v>
      </c>
      <c r="B17" s="28" t="s">
        <v>16</v>
      </c>
      <c r="C17" s="28" t="s">
        <v>17</v>
      </c>
      <c r="D17" s="28">
        <v>532</v>
      </c>
      <c r="E17" s="28">
        <v>32</v>
      </c>
      <c r="F17" s="28">
        <v>1</v>
      </c>
      <c r="G17" s="28">
        <v>12</v>
      </c>
      <c r="H17" s="28">
        <f t="shared" si="0"/>
        <v>12</v>
      </c>
      <c r="I17" s="28">
        <v>1</v>
      </c>
      <c r="J17" s="28">
        <v>12</v>
      </c>
      <c r="K17" s="28">
        <f t="shared" si="1"/>
        <v>12</v>
      </c>
      <c r="L17" s="28">
        <f t="shared" si="2"/>
        <v>0</v>
      </c>
      <c r="M17" s="4"/>
    </row>
    <row r="18" spans="1:13" x14ac:dyDescent="0.25">
      <c r="A18" s="26"/>
      <c r="B18" s="26" t="s">
        <v>18</v>
      </c>
      <c r="C18" s="26"/>
      <c r="D18" s="26"/>
      <c r="E18" s="26"/>
      <c r="F18" s="26"/>
      <c r="G18" s="26"/>
      <c r="H18" s="26">
        <f>SUM(H12:H17)</f>
        <v>72</v>
      </c>
      <c r="I18" s="26"/>
      <c r="J18" s="26"/>
      <c r="K18" s="26">
        <f t="shared" ref="K18:L18" si="3">SUM(K12:K17)</f>
        <v>96</v>
      </c>
      <c r="L18" s="26">
        <f t="shared" si="3"/>
        <v>24</v>
      </c>
      <c r="M18" s="4"/>
    </row>
    <row r="19" spans="1:13" x14ac:dyDescent="0.25">
      <c r="A19" s="38" t="s">
        <v>36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</row>
    <row r="20" spans="1:13" x14ac:dyDescent="0.25">
      <c r="A20" s="28">
        <v>1</v>
      </c>
      <c r="B20" s="28" t="s">
        <v>16</v>
      </c>
      <c r="C20" s="28" t="s">
        <v>17</v>
      </c>
      <c r="D20" s="28">
        <v>537</v>
      </c>
      <c r="E20" s="28">
        <v>6</v>
      </c>
      <c r="F20" s="28">
        <v>6</v>
      </c>
      <c r="G20" s="28">
        <v>12</v>
      </c>
      <c r="H20" s="28">
        <f t="shared" ref="H20:H21" si="4">+G20*F20</f>
        <v>72</v>
      </c>
      <c r="I20" s="29">
        <v>10</v>
      </c>
      <c r="J20" s="28">
        <v>12</v>
      </c>
      <c r="K20" s="28">
        <f t="shared" ref="K20:K21" si="5">+J20*I20</f>
        <v>120</v>
      </c>
      <c r="L20" s="28">
        <f t="shared" ref="L20:L21" si="6">+K20-H20</f>
        <v>48</v>
      </c>
      <c r="M20" s="4"/>
    </row>
    <row r="21" spans="1:13" x14ac:dyDescent="0.25">
      <c r="A21" s="28">
        <v>2</v>
      </c>
      <c r="B21" s="28" t="s">
        <v>16</v>
      </c>
      <c r="C21" s="28" t="s">
        <v>17</v>
      </c>
      <c r="D21" s="28">
        <v>498</v>
      </c>
      <c r="E21" s="28">
        <v>6</v>
      </c>
      <c r="F21" s="28">
        <v>6</v>
      </c>
      <c r="G21" s="28">
        <v>12</v>
      </c>
      <c r="H21" s="28">
        <f t="shared" si="4"/>
        <v>72</v>
      </c>
      <c r="I21" s="28">
        <v>11</v>
      </c>
      <c r="J21" s="28">
        <v>12</v>
      </c>
      <c r="K21" s="28">
        <f t="shared" si="5"/>
        <v>132</v>
      </c>
      <c r="L21" s="28">
        <f t="shared" si="6"/>
        <v>60</v>
      </c>
      <c r="M21" s="4"/>
    </row>
    <row r="22" spans="1:13" x14ac:dyDescent="0.25">
      <c r="A22" s="28">
        <v>3</v>
      </c>
      <c r="B22" s="28" t="s">
        <v>16</v>
      </c>
      <c r="C22" s="28" t="s">
        <v>17</v>
      </c>
      <c r="D22" s="10">
        <v>525</v>
      </c>
      <c r="E22" s="28">
        <v>6</v>
      </c>
      <c r="F22" s="28">
        <v>6</v>
      </c>
      <c r="G22" s="28">
        <v>12</v>
      </c>
      <c r="H22" s="28">
        <f t="shared" ref="H22" si="7">+G22*F22</f>
        <v>72</v>
      </c>
      <c r="I22" s="28">
        <v>2</v>
      </c>
      <c r="J22" s="28">
        <v>12</v>
      </c>
      <c r="K22" s="28">
        <f t="shared" ref="K22" si="8">+J22*I22</f>
        <v>24</v>
      </c>
      <c r="L22" s="28">
        <f t="shared" ref="L22" si="9">+K22-H22</f>
        <v>-48</v>
      </c>
      <c r="M22" s="4" t="s">
        <v>40</v>
      </c>
    </row>
    <row r="23" spans="1:13" hidden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4"/>
    </row>
    <row r="24" spans="1:13" hidden="1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4"/>
    </row>
    <row r="25" spans="1:13" hidden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4"/>
    </row>
    <row r="26" spans="1:13" hidden="1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4"/>
    </row>
    <row r="27" spans="1:13" x14ac:dyDescent="0.25">
      <c r="A27" s="26"/>
      <c r="B27" s="26" t="s">
        <v>18</v>
      </c>
      <c r="C27" s="26"/>
      <c r="D27" s="26"/>
      <c r="E27" s="26"/>
      <c r="F27" s="26"/>
      <c r="G27" s="26"/>
      <c r="H27" s="26">
        <f>SUM(H20:H26)</f>
        <v>216</v>
      </c>
      <c r="I27" s="26"/>
      <c r="J27" s="26"/>
      <c r="K27" s="26">
        <f>SUM(K20:K26)</f>
        <v>276</v>
      </c>
      <c r="L27" s="26">
        <f>SUM(L20:L26)</f>
        <v>60</v>
      </c>
      <c r="M27" s="4"/>
    </row>
    <row r="28" spans="1:13" x14ac:dyDescent="0.25">
      <c r="A28" s="38" t="s">
        <v>27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 spans="1:13" x14ac:dyDescent="0.25">
      <c r="A29" s="28">
        <v>1</v>
      </c>
      <c r="B29" s="28" t="s">
        <v>16</v>
      </c>
      <c r="C29" s="28" t="s">
        <v>17</v>
      </c>
      <c r="D29" s="10">
        <v>525</v>
      </c>
      <c r="E29" s="28">
        <v>80</v>
      </c>
      <c r="F29" s="28">
        <v>2</v>
      </c>
      <c r="G29" s="28">
        <v>12</v>
      </c>
      <c r="H29" s="28">
        <f t="shared" ref="H29:H32" si="10">+G29*F29</f>
        <v>24</v>
      </c>
      <c r="I29" s="29">
        <v>1</v>
      </c>
      <c r="J29" s="28">
        <v>12</v>
      </c>
      <c r="K29" s="28">
        <f t="shared" ref="K29:K32" si="11">+J29*I29</f>
        <v>12</v>
      </c>
      <c r="L29" s="28">
        <f t="shared" ref="L29:L32" si="12">+K29-H29</f>
        <v>-12</v>
      </c>
      <c r="M29" s="4"/>
    </row>
    <row r="30" spans="1:13" x14ac:dyDescent="0.25">
      <c r="A30" s="28">
        <v>2</v>
      </c>
      <c r="B30" s="28" t="s">
        <v>16</v>
      </c>
      <c r="C30" s="28" t="s">
        <v>17</v>
      </c>
      <c r="D30" s="28">
        <v>803</v>
      </c>
      <c r="E30" s="28">
        <v>80</v>
      </c>
      <c r="F30" s="28">
        <v>2</v>
      </c>
      <c r="G30" s="28">
        <v>12</v>
      </c>
      <c r="H30" s="28">
        <f t="shared" si="10"/>
        <v>24</v>
      </c>
      <c r="I30" s="28">
        <v>2</v>
      </c>
      <c r="J30" s="28">
        <v>12</v>
      </c>
      <c r="K30" s="28">
        <f t="shared" si="11"/>
        <v>24</v>
      </c>
      <c r="L30" s="28">
        <f t="shared" si="12"/>
        <v>0</v>
      </c>
      <c r="M30" s="4"/>
    </row>
    <row r="31" spans="1:13" x14ac:dyDescent="0.25">
      <c r="A31" s="28">
        <v>3</v>
      </c>
      <c r="B31" s="28" t="s">
        <v>16</v>
      </c>
      <c r="C31" s="28" t="s">
        <v>17</v>
      </c>
      <c r="D31" s="28">
        <v>713</v>
      </c>
      <c r="E31" s="28">
        <v>80</v>
      </c>
      <c r="F31" s="28">
        <v>2</v>
      </c>
      <c r="G31" s="28">
        <v>12</v>
      </c>
      <c r="H31" s="28">
        <f t="shared" si="10"/>
        <v>24</v>
      </c>
      <c r="I31" s="28">
        <v>2</v>
      </c>
      <c r="J31" s="28">
        <v>12</v>
      </c>
      <c r="K31" s="28">
        <f t="shared" si="11"/>
        <v>24</v>
      </c>
      <c r="L31" s="28">
        <f t="shared" si="12"/>
        <v>0</v>
      </c>
      <c r="M31" s="4"/>
    </row>
    <row r="32" spans="1:13" x14ac:dyDescent="0.25">
      <c r="A32" s="28">
        <v>4</v>
      </c>
      <c r="B32" s="28" t="s">
        <v>16</v>
      </c>
      <c r="C32" s="28" t="s">
        <v>17</v>
      </c>
      <c r="D32" s="28"/>
      <c r="E32" s="28">
        <v>80</v>
      </c>
      <c r="F32" s="28">
        <v>2</v>
      </c>
      <c r="G32" s="28">
        <v>12</v>
      </c>
      <c r="H32" s="28">
        <f t="shared" si="10"/>
        <v>24</v>
      </c>
      <c r="I32" s="29"/>
      <c r="J32" s="28">
        <v>12</v>
      </c>
      <c r="K32" s="28">
        <f t="shared" si="11"/>
        <v>0</v>
      </c>
      <c r="L32" s="28">
        <f t="shared" si="12"/>
        <v>-24</v>
      </c>
      <c r="M32" s="4"/>
    </row>
    <row r="33" spans="1:13" hidden="1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4"/>
    </row>
    <row r="34" spans="1:13" hidden="1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4"/>
    </row>
    <row r="35" spans="1:13" hidden="1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4"/>
    </row>
    <row r="36" spans="1:13" hidden="1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4"/>
    </row>
    <row r="37" spans="1:13" hidden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4"/>
    </row>
    <row r="38" spans="1:13" x14ac:dyDescent="0.25">
      <c r="A38" s="26"/>
      <c r="B38" s="26" t="s">
        <v>18</v>
      </c>
      <c r="C38" s="26"/>
      <c r="D38" s="26"/>
      <c r="E38" s="26"/>
      <c r="F38" s="26"/>
      <c r="G38" s="26"/>
      <c r="H38" s="26">
        <f>SUM(H29:H37)</f>
        <v>96</v>
      </c>
      <c r="I38" s="26"/>
      <c r="J38" s="26"/>
      <c r="K38" s="26">
        <f>SUM(K29:K37)</f>
        <v>60</v>
      </c>
      <c r="L38" s="26">
        <f>SUM(L29:L37)</f>
        <v>-36</v>
      </c>
      <c r="M38" s="4"/>
    </row>
    <row r="39" spans="1:13" x14ac:dyDescent="0.25">
      <c r="A39" s="38" t="s">
        <v>34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1:13" x14ac:dyDescent="0.25">
      <c r="A40" s="28">
        <v>1</v>
      </c>
      <c r="B40" s="28" t="s">
        <v>16</v>
      </c>
      <c r="C40" s="28" t="s">
        <v>17</v>
      </c>
      <c r="D40" s="28">
        <v>901</v>
      </c>
      <c r="E40" s="28">
        <v>80</v>
      </c>
      <c r="F40" s="28">
        <v>2</v>
      </c>
      <c r="G40" s="28">
        <v>12</v>
      </c>
      <c r="H40" s="28">
        <f t="shared" ref="H40:H42" si="13">+G40*F40</f>
        <v>24</v>
      </c>
      <c r="I40" s="29">
        <v>2</v>
      </c>
      <c r="J40" s="28">
        <v>12</v>
      </c>
      <c r="K40" s="28">
        <f t="shared" ref="K40:K42" si="14">+J40*I40</f>
        <v>24</v>
      </c>
      <c r="L40" s="28">
        <f t="shared" ref="L40:L42" si="15">+K40-H40</f>
        <v>0</v>
      </c>
      <c r="M40" s="4"/>
    </row>
    <row r="41" spans="1:13" x14ac:dyDescent="0.25">
      <c r="A41" s="28">
        <v>2</v>
      </c>
      <c r="B41" s="28" t="s">
        <v>16</v>
      </c>
      <c r="C41" s="28" t="s">
        <v>17</v>
      </c>
      <c r="D41" s="28">
        <v>367</v>
      </c>
      <c r="E41" s="28">
        <v>80</v>
      </c>
      <c r="F41" s="28">
        <v>2</v>
      </c>
      <c r="G41" s="28">
        <v>12</v>
      </c>
      <c r="H41" s="28">
        <f t="shared" si="13"/>
        <v>24</v>
      </c>
      <c r="I41" s="28">
        <v>1</v>
      </c>
      <c r="J41" s="28">
        <v>12</v>
      </c>
      <c r="K41" s="28">
        <f t="shared" si="14"/>
        <v>12</v>
      </c>
      <c r="L41" s="28">
        <f t="shared" si="15"/>
        <v>-12</v>
      </c>
      <c r="M41" s="4"/>
    </row>
    <row r="42" spans="1:13" x14ac:dyDescent="0.25">
      <c r="A42" s="28">
        <v>3</v>
      </c>
      <c r="B42" s="28" t="s">
        <v>16</v>
      </c>
      <c r="C42" s="28" t="s">
        <v>17</v>
      </c>
      <c r="D42" s="28">
        <v>457</v>
      </c>
      <c r="E42" s="28">
        <v>80</v>
      </c>
      <c r="F42" s="28">
        <v>2</v>
      </c>
      <c r="G42" s="28">
        <v>12</v>
      </c>
      <c r="H42" s="28">
        <f t="shared" si="13"/>
        <v>24</v>
      </c>
      <c r="I42" s="28">
        <v>1</v>
      </c>
      <c r="J42" s="28">
        <v>12</v>
      </c>
      <c r="K42" s="28">
        <f t="shared" si="14"/>
        <v>12</v>
      </c>
      <c r="L42" s="28">
        <f t="shared" si="15"/>
        <v>-12</v>
      </c>
      <c r="M42" s="4"/>
    </row>
    <row r="43" spans="1:13" hidden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4"/>
    </row>
    <row r="44" spans="1:13" hidden="1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4"/>
    </row>
    <row r="45" spans="1:13" hidden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4"/>
    </row>
    <row r="46" spans="1:13" hidden="1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4"/>
    </row>
    <row r="47" spans="1:13" hidden="1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4"/>
    </row>
    <row r="48" spans="1:13" x14ac:dyDescent="0.25">
      <c r="A48" s="26"/>
      <c r="B48" s="26" t="s">
        <v>18</v>
      </c>
      <c r="C48" s="26"/>
      <c r="D48" s="26"/>
      <c r="E48" s="26"/>
      <c r="F48" s="26"/>
      <c r="G48" s="26"/>
      <c r="H48" s="26">
        <f>SUM(H40:H47)</f>
        <v>72</v>
      </c>
      <c r="I48" s="26"/>
      <c r="J48" s="26"/>
      <c r="K48" s="26">
        <f>SUM(K40:K47)</f>
        <v>48</v>
      </c>
      <c r="L48" s="26">
        <f>SUM(L40:L47)</f>
        <v>-24</v>
      </c>
      <c r="M48" s="4"/>
    </row>
    <row r="49" spans="1:13" hidden="1" x14ac:dyDescent="0.25">
      <c r="A49" s="38" t="s">
        <v>27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</row>
    <row r="50" spans="1:13" hidden="1" x14ac:dyDescent="0.25">
      <c r="A50" s="28">
        <v>1</v>
      </c>
      <c r="B50" s="28" t="s">
        <v>24</v>
      </c>
      <c r="C50" s="28" t="s">
        <v>25</v>
      </c>
      <c r="D50" s="28">
        <v>912</v>
      </c>
      <c r="E50" s="28">
        <v>80</v>
      </c>
      <c r="F50" s="28">
        <v>2</v>
      </c>
      <c r="G50" s="28">
        <v>12</v>
      </c>
      <c r="H50" s="28">
        <f>+G50*F50</f>
        <v>24</v>
      </c>
      <c r="I50" s="28"/>
      <c r="J50" s="28">
        <v>12</v>
      </c>
      <c r="K50" s="28">
        <f>+J50*I50</f>
        <v>0</v>
      </c>
      <c r="L50" s="28">
        <f>+K50-H50</f>
        <v>-24</v>
      </c>
      <c r="M50" s="4"/>
    </row>
    <row r="51" spans="1:13" hidden="1" x14ac:dyDescent="0.25">
      <c r="A51" s="28">
        <v>2</v>
      </c>
      <c r="B51" s="28" t="s">
        <v>29</v>
      </c>
      <c r="C51" s="28" t="s">
        <v>30</v>
      </c>
      <c r="D51" s="28">
        <v>235</v>
      </c>
      <c r="E51" s="28">
        <v>80</v>
      </c>
      <c r="F51" s="28">
        <v>2</v>
      </c>
      <c r="G51" s="28">
        <v>21</v>
      </c>
      <c r="H51" s="28">
        <f>+G51*F51</f>
        <v>42</v>
      </c>
      <c r="I51" s="28"/>
      <c r="J51" s="28">
        <v>21</v>
      </c>
      <c r="K51" s="28">
        <f>+J51*I51</f>
        <v>0</v>
      </c>
      <c r="L51" s="28">
        <f>+K51-H51</f>
        <v>-42</v>
      </c>
      <c r="M51" s="4"/>
    </row>
    <row r="52" spans="1:13" hidden="1" x14ac:dyDescent="0.25">
      <c r="A52" s="28">
        <v>3</v>
      </c>
      <c r="B52" s="28" t="s">
        <v>29</v>
      </c>
      <c r="C52" s="28" t="s">
        <v>30</v>
      </c>
      <c r="D52" s="28">
        <v>274</v>
      </c>
      <c r="E52" s="28">
        <v>80</v>
      </c>
      <c r="F52" s="28">
        <v>2</v>
      </c>
      <c r="G52" s="28">
        <v>21</v>
      </c>
      <c r="H52" s="28">
        <f t="shared" ref="H52:H56" si="16">+G52*F52</f>
        <v>42</v>
      </c>
      <c r="I52" s="28"/>
      <c r="J52" s="28">
        <v>21</v>
      </c>
      <c r="K52" s="28">
        <f t="shared" ref="K52:K56" si="17">+J52*I52</f>
        <v>0</v>
      </c>
      <c r="L52" s="28">
        <f t="shared" ref="L52:L56" si="18">+K52-H52</f>
        <v>-42</v>
      </c>
      <c r="M52" s="4"/>
    </row>
    <row r="53" spans="1:13" hidden="1" x14ac:dyDescent="0.25">
      <c r="A53" s="28">
        <v>4</v>
      </c>
      <c r="B53" s="28" t="s">
        <v>29</v>
      </c>
      <c r="C53" s="28" t="s">
        <v>30</v>
      </c>
      <c r="D53" s="28">
        <v>283</v>
      </c>
      <c r="E53" s="28">
        <v>80</v>
      </c>
      <c r="F53" s="28">
        <v>2</v>
      </c>
      <c r="G53" s="28">
        <v>21</v>
      </c>
      <c r="H53" s="28">
        <f t="shared" si="16"/>
        <v>42</v>
      </c>
      <c r="I53" s="28"/>
      <c r="J53" s="28">
        <v>21</v>
      </c>
      <c r="K53" s="28">
        <f t="shared" si="17"/>
        <v>0</v>
      </c>
      <c r="L53" s="28">
        <f t="shared" si="18"/>
        <v>-42</v>
      </c>
      <c r="M53" s="4"/>
    </row>
    <row r="54" spans="1:13" hidden="1" x14ac:dyDescent="0.25">
      <c r="A54" s="28">
        <v>5</v>
      </c>
      <c r="B54" s="28" t="s">
        <v>29</v>
      </c>
      <c r="C54" s="28" t="s">
        <v>30</v>
      </c>
      <c r="D54" s="28">
        <v>138</v>
      </c>
      <c r="E54" s="28">
        <v>80</v>
      </c>
      <c r="F54" s="28">
        <v>2</v>
      </c>
      <c r="G54" s="28">
        <v>21</v>
      </c>
      <c r="H54" s="28">
        <f t="shared" si="16"/>
        <v>42</v>
      </c>
      <c r="I54" s="28"/>
      <c r="J54" s="28">
        <v>21</v>
      </c>
      <c r="K54" s="28">
        <f t="shared" si="17"/>
        <v>0</v>
      </c>
      <c r="L54" s="28">
        <f t="shared" si="18"/>
        <v>-42</v>
      </c>
      <c r="M54" s="4"/>
    </row>
    <row r="55" spans="1:13" hidden="1" x14ac:dyDescent="0.25">
      <c r="A55" s="28">
        <v>6</v>
      </c>
      <c r="B55" s="28" t="s">
        <v>29</v>
      </c>
      <c r="C55" s="28" t="s">
        <v>30</v>
      </c>
      <c r="D55" s="28">
        <v>984</v>
      </c>
      <c r="E55" s="28">
        <v>80</v>
      </c>
      <c r="F55" s="28">
        <v>2</v>
      </c>
      <c r="G55" s="28">
        <v>21</v>
      </c>
      <c r="H55" s="28">
        <f t="shared" si="16"/>
        <v>42</v>
      </c>
      <c r="I55" s="28"/>
      <c r="J55" s="28">
        <v>21</v>
      </c>
      <c r="K55" s="28">
        <f t="shared" si="17"/>
        <v>0</v>
      </c>
      <c r="L55" s="28">
        <f t="shared" si="18"/>
        <v>-42</v>
      </c>
      <c r="M55" s="4"/>
    </row>
    <row r="56" spans="1:13" hidden="1" x14ac:dyDescent="0.25">
      <c r="A56" s="28">
        <v>7</v>
      </c>
      <c r="B56" s="28" t="s">
        <v>29</v>
      </c>
      <c r="C56" s="28" t="s">
        <v>30</v>
      </c>
      <c r="D56" s="28">
        <v>291</v>
      </c>
      <c r="E56" s="28">
        <v>80</v>
      </c>
      <c r="F56" s="28">
        <v>2</v>
      </c>
      <c r="G56" s="28">
        <v>21</v>
      </c>
      <c r="H56" s="28">
        <f t="shared" si="16"/>
        <v>42</v>
      </c>
      <c r="I56" s="28"/>
      <c r="J56" s="28">
        <v>21</v>
      </c>
      <c r="K56" s="28">
        <f t="shared" si="17"/>
        <v>0</v>
      </c>
      <c r="L56" s="28">
        <f t="shared" si="18"/>
        <v>-42</v>
      </c>
      <c r="M56" s="4"/>
    </row>
    <row r="57" spans="1:13" hidden="1" x14ac:dyDescent="0.25">
      <c r="A57" s="26"/>
      <c r="B57" s="26" t="s">
        <v>18</v>
      </c>
      <c r="C57" s="26"/>
      <c r="D57" s="26"/>
      <c r="E57" s="26"/>
      <c r="F57" s="26"/>
      <c r="G57" s="26"/>
      <c r="H57" s="26">
        <f>SUM(H50:H56)</f>
        <v>276</v>
      </c>
      <c r="I57" s="26"/>
      <c r="J57" s="26"/>
      <c r="K57" s="26">
        <f>SUM(K50:K56)</f>
        <v>0</v>
      </c>
      <c r="L57" s="26">
        <f>SUM(L50:L56)</f>
        <v>-276</v>
      </c>
      <c r="M57" s="4"/>
    </row>
    <row r="58" spans="1:13" x14ac:dyDescent="0.25">
      <c r="A58" s="38" t="s">
        <v>37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</row>
    <row r="59" spans="1:13" x14ac:dyDescent="0.25">
      <c r="A59" s="28">
        <v>1</v>
      </c>
      <c r="B59" s="28" t="s">
        <v>16</v>
      </c>
      <c r="C59" s="28" t="s">
        <v>17</v>
      </c>
      <c r="D59" s="28">
        <v>365</v>
      </c>
      <c r="E59" s="28">
        <v>35</v>
      </c>
      <c r="F59" s="28">
        <v>3</v>
      </c>
      <c r="G59" s="28">
        <v>28</v>
      </c>
      <c r="H59" s="28">
        <f>+G59*F59</f>
        <v>84</v>
      </c>
      <c r="I59" s="28">
        <v>4</v>
      </c>
      <c r="J59" s="28"/>
      <c r="K59" s="28">
        <v>112.21</v>
      </c>
      <c r="L59" s="28">
        <f>+K59-H59</f>
        <v>28.209999999999994</v>
      </c>
      <c r="M59" s="4"/>
    </row>
    <row r="60" spans="1:13" x14ac:dyDescent="0.25">
      <c r="A60" s="28">
        <v>2</v>
      </c>
      <c r="B60" s="28" t="s">
        <v>16</v>
      </c>
      <c r="C60" s="28" t="s">
        <v>17</v>
      </c>
      <c r="D60" s="28">
        <v>428</v>
      </c>
      <c r="E60" s="28">
        <v>35</v>
      </c>
      <c r="F60" s="28">
        <v>3</v>
      </c>
      <c r="G60" s="28">
        <v>28</v>
      </c>
      <c r="H60" s="28">
        <f>+G60*F60</f>
        <v>84</v>
      </c>
      <c r="I60" s="28">
        <v>4</v>
      </c>
      <c r="J60" s="28"/>
      <c r="K60" s="28">
        <v>112.51</v>
      </c>
      <c r="L60" s="28">
        <f>+K60-H60</f>
        <v>28.510000000000005</v>
      </c>
      <c r="M60" s="4"/>
    </row>
    <row r="61" spans="1:13" x14ac:dyDescent="0.25">
      <c r="A61" s="28">
        <v>3</v>
      </c>
      <c r="B61" s="28" t="s">
        <v>16</v>
      </c>
      <c r="C61" s="28" t="s">
        <v>17</v>
      </c>
      <c r="D61" s="28">
        <v>797</v>
      </c>
      <c r="E61" s="28">
        <v>35</v>
      </c>
      <c r="F61" s="28">
        <v>3</v>
      </c>
      <c r="G61" s="28">
        <v>28</v>
      </c>
      <c r="H61" s="28">
        <f t="shared" ref="H61:H71" si="19">+G61*F61</f>
        <v>84</v>
      </c>
      <c r="I61" s="28">
        <v>3</v>
      </c>
      <c r="J61" s="28"/>
      <c r="K61" s="28">
        <v>84.29</v>
      </c>
      <c r="L61" s="28">
        <f t="shared" ref="L61:L71" si="20">+K61-H61</f>
        <v>0.29000000000000625</v>
      </c>
      <c r="M61" s="4"/>
    </row>
    <row r="62" spans="1:13" x14ac:dyDescent="0.25">
      <c r="A62" s="28">
        <v>4</v>
      </c>
      <c r="B62" s="28" t="s">
        <v>16</v>
      </c>
      <c r="C62" s="28" t="s">
        <v>17</v>
      </c>
      <c r="D62" s="28">
        <v>708</v>
      </c>
      <c r="E62" s="28">
        <v>35</v>
      </c>
      <c r="F62" s="28">
        <v>3</v>
      </c>
      <c r="G62" s="28">
        <v>28</v>
      </c>
      <c r="H62" s="28">
        <f t="shared" si="19"/>
        <v>84</v>
      </c>
      <c r="I62" s="28">
        <v>3</v>
      </c>
      <c r="J62" s="28"/>
      <c r="K62" s="28">
        <v>84.35</v>
      </c>
      <c r="L62" s="28">
        <f t="shared" si="20"/>
        <v>0.34999999999999432</v>
      </c>
      <c r="M62" s="4"/>
    </row>
    <row r="63" spans="1:13" x14ac:dyDescent="0.25">
      <c r="A63" s="28">
        <v>5</v>
      </c>
      <c r="B63" s="28" t="s">
        <v>16</v>
      </c>
      <c r="C63" s="28" t="s">
        <v>17</v>
      </c>
      <c r="D63" s="28">
        <v>476</v>
      </c>
      <c r="E63" s="28">
        <v>35</v>
      </c>
      <c r="F63" s="28">
        <v>3</v>
      </c>
      <c r="G63" s="28">
        <v>28</v>
      </c>
      <c r="H63" s="28">
        <f t="shared" si="19"/>
        <v>84</v>
      </c>
      <c r="I63" s="28">
        <v>3</v>
      </c>
      <c r="J63" s="28"/>
      <c r="K63" s="28">
        <v>84.48</v>
      </c>
      <c r="L63" s="28">
        <f t="shared" si="20"/>
        <v>0.48000000000000398</v>
      </c>
      <c r="M63" s="4"/>
    </row>
    <row r="64" spans="1:13" x14ac:dyDescent="0.25">
      <c r="A64" s="28">
        <v>6</v>
      </c>
      <c r="B64" s="28" t="s">
        <v>16</v>
      </c>
      <c r="C64" s="28" t="s">
        <v>17</v>
      </c>
      <c r="D64" s="28">
        <v>796</v>
      </c>
      <c r="E64" s="28">
        <v>35</v>
      </c>
      <c r="F64" s="28">
        <v>3</v>
      </c>
      <c r="G64" s="28">
        <v>28</v>
      </c>
      <c r="H64" s="28">
        <f t="shared" ref="H64:H67" si="21">+G64*F64</f>
        <v>84</v>
      </c>
      <c r="I64" s="28">
        <v>2</v>
      </c>
      <c r="J64" s="28"/>
      <c r="K64" s="28">
        <v>56.25</v>
      </c>
      <c r="L64" s="28">
        <f t="shared" ref="L64:L67" si="22">+K64-H64</f>
        <v>-27.75</v>
      </c>
      <c r="M64" s="4"/>
    </row>
    <row r="65" spans="1:13" x14ac:dyDescent="0.25">
      <c r="A65" s="28">
        <v>7</v>
      </c>
      <c r="B65" s="28" t="s">
        <v>16</v>
      </c>
      <c r="C65" s="28" t="s">
        <v>17</v>
      </c>
      <c r="D65" s="28">
        <v>730</v>
      </c>
      <c r="E65" s="28">
        <v>35</v>
      </c>
      <c r="F65" s="28">
        <v>3</v>
      </c>
      <c r="G65" s="28">
        <v>28</v>
      </c>
      <c r="H65" s="28">
        <f t="shared" si="21"/>
        <v>84</v>
      </c>
      <c r="I65" s="28">
        <v>3</v>
      </c>
      <c r="J65" s="28"/>
      <c r="K65" s="28">
        <v>84.66</v>
      </c>
      <c r="L65" s="28">
        <f t="shared" si="22"/>
        <v>0.65999999999999659</v>
      </c>
      <c r="M65" s="4"/>
    </row>
    <row r="66" spans="1:13" x14ac:dyDescent="0.25">
      <c r="A66" s="28">
        <v>8</v>
      </c>
      <c r="B66" s="28" t="s">
        <v>16</v>
      </c>
      <c r="C66" s="28" t="s">
        <v>17</v>
      </c>
      <c r="D66" s="28">
        <v>274</v>
      </c>
      <c r="E66" s="28">
        <v>35</v>
      </c>
      <c r="F66" s="28">
        <v>3</v>
      </c>
      <c r="G66" s="28">
        <v>28</v>
      </c>
      <c r="H66" s="28">
        <f t="shared" si="21"/>
        <v>84</v>
      </c>
      <c r="I66" s="28">
        <v>3</v>
      </c>
      <c r="J66" s="28"/>
      <c r="K66" s="28">
        <v>84.33</v>
      </c>
      <c r="L66" s="28">
        <f t="shared" si="22"/>
        <v>0.32999999999999829</v>
      </c>
      <c r="M66" s="4"/>
    </row>
    <row r="67" spans="1:13" x14ac:dyDescent="0.25">
      <c r="A67" s="28">
        <v>9</v>
      </c>
      <c r="B67" s="28" t="s">
        <v>16</v>
      </c>
      <c r="C67" s="28" t="s">
        <v>17</v>
      </c>
      <c r="D67" s="28">
        <v>368</v>
      </c>
      <c r="E67" s="28">
        <v>35</v>
      </c>
      <c r="F67" s="28">
        <v>3</v>
      </c>
      <c r="G67" s="28">
        <v>28</v>
      </c>
      <c r="H67" s="28">
        <f t="shared" si="21"/>
        <v>84</v>
      </c>
      <c r="I67" s="28">
        <v>2</v>
      </c>
      <c r="J67" s="28"/>
      <c r="K67" s="28">
        <v>56.48</v>
      </c>
      <c r="L67" s="28">
        <f t="shared" si="22"/>
        <v>-27.520000000000003</v>
      </c>
      <c r="M67" s="4"/>
    </row>
    <row r="68" spans="1:13" x14ac:dyDescent="0.25">
      <c r="A68" s="28">
        <v>10</v>
      </c>
      <c r="B68" s="28" t="s">
        <v>16</v>
      </c>
      <c r="C68" s="28" t="s">
        <v>17</v>
      </c>
      <c r="D68" s="28">
        <v>976</v>
      </c>
      <c r="E68" s="28">
        <v>35</v>
      </c>
      <c r="F68" s="28">
        <v>3</v>
      </c>
      <c r="G68" s="28">
        <v>28</v>
      </c>
      <c r="H68" s="28">
        <f t="shared" si="19"/>
        <v>84</v>
      </c>
      <c r="I68" s="28">
        <v>1</v>
      </c>
      <c r="J68" s="28"/>
      <c r="K68" s="28">
        <v>28.28</v>
      </c>
      <c r="L68" s="28">
        <f t="shared" si="20"/>
        <v>-55.72</v>
      </c>
      <c r="M68" s="4"/>
    </row>
    <row r="69" spans="1:13" hidden="1" x14ac:dyDescent="0.25">
      <c r="A69" s="28">
        <v>11</v>
      </c>
      <c r="B69" s="28" t="s">
        <v>16</v>
      </c>
      <c r="C69" s="28" t="s">
        <v>17</v>
      </c>
      <c r="D69" s="28"/>
      <c r="E69" s="28">
        <v>35</v>
      </c>
      <c r="F69" s="28">
        <v>3</v>
      </c>
      <c r="G69" s="28">
        <v>28</v>
      </c>
      <c r="H69" s="28">
        <f t="shared" si="19"/>
        <v>84</v>
      </c>
      <c r="I69" s="28"/>
      <c r="J69" s="28"/>
      <c r="K69" s="28"/>
      <c r="L69" s="28">
        <f t="shared" si="20"/>
        <v>-84</v>
      </c>
      <c r="M69" s="4"/>
    </row>
    <row r="70" spans="1:13" hidden="1" x14ac:dyDescent="0.25">
      <c r="A70" s="28">
        <v>12</v>
      </c>
      <c r="B70" s="28" t="s">
        <v>16</v>
      </c>
      <c r="C70" s="28" t="s">
        <v>17</v>
      </c>
      <c r="D70" s="28"/>
      <c r="E70" s="28">
        <v>35</v>
      </c>
      <c r="F70" s="28">
        <v>3</v>
      </c>
      <c r="G70" s="28">
        <v>28</v>
      </c>
      <c r="H70" s="28">
        <f t="shared" si="19"/>
        <v>84</v>
      </c>
      <c r="I70" s="28"/>
      <c r="J70" s="28"/>
      <c r="K70" s="28"/>
      <c r="L70" s="28">
        <f t="shared" si="20"/>
        <v>-84</v>
      </c>
      <c r="M70" s="4"/>
    </row>
    <row r="71" spans="1:13" hidden="1" x14ac:dyDescent="0.25">
      <c r="A71" s="28">
        <v>13</v>
      </c>
      <c r="B71" s="28" t="s">
        <v>16</v>
      </c>
      <c r="C71" s="28" t="s">
        <v>17</v>
      </c>
      <c r="D71" s="28"/>
      <c r="E71" s="28">
        <v>35</v>
      </c>
      <c r="F71" s="28">
        <v>3</v>
      </c>
      <c r="G71" s="28">
        <v>28</v>
      </c>
      <c r="H71" s="28">
        <f t="shared" si="19"/>
        <v>84</v>
      </c>
      <c r="I71" s="28"/>
      <c r="J71" s="28"/>
      <c r="K71" s="28"/>
      <c r="L71" s="28">
        <f t="shared" si="20"/>
        <v>-84</v>
      </c>
      <c r="M71" s="4"/>
    </row>
    <row r="72" spans="1:13" x14ac:dyDescent="0.25">
      <c r="A72" s="26"/>
      <c r="B72" s="26" t="s">
        <v>18</v>
      </c>
      <c r="C72" s="26"/>
      <c r="D72" s="26"/>
      <c r="E72" s="26"/>
      <c r="F72" s="26"/>
      <c r="G72" s="26"/>
      <c r="H72" s="26">
        <f>SUM(H59:H71)</f>
        <v>1092</v>
      </c>
      <c r="I72" s="26"/>
      <c r="J72" s="26"/>
      <c r="K72" s="26">
        <f>SUM(K59:K71)</f>
        <v>787.84</v>
      </c>
      <c r="L72" s="26">
        <f>SUM(L59:L71)</f>
        <v>-304.15999999999997</v>
      </c>
      <c r="M72" s="25" t="s">
        <v>38</v>
      </c>
    </row>
    <row r="73" spans="1:13" x14ac:dyDescent="0.25">
      <c r="A73" s="38" t="s">
        <v>35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</row>
    <row r="74" spans="1:13" x14ac:dyDescent="0.25">
      <c r="A74" s="28">
        <v>1</v>
      </c>
      <c r="B74" s="28" t="s">
        <v>24</v>
      </c>
      <c r="C74" s="28" t="s">
        <v>25</v>
      </c>
      <c r="D74" s="28">
        <v>235</v>
      </c>
      <c r="E74" s="28">
        <v>80</v>
      </c>
      <c r="F74" s="28">
        <v>2</v>
      </c>
      <c r="G74" s="28">
        <v>12</v>
      </c>
      <c r="H74" s="28">
        <f>+G74*F74</f>
        <v>24</v>
      </c>
      <c r="I74" s="28"/>
      <c r="J74" s="28">
        <v>12</v>
      </c>
      <c r="K74" s="28">
        <f>+J74*I74</f>
        <v>0</v>
      </c>
      <c r="L74" s="28">
        <f>+K74-H74</f>
        <v>-24</v>
      </c>
      <c r="M74" s="4"/>
    </row>
    <row r="75" spans="1:13" x14ac:dyDescent="0.25">
      <c r="A75" s="28">
        <v>2</v>
      </c>
      <c r="B75" s="28" t="s">
        <v>24</v>
      </c>
      <c r="C75" s="28" t="s">
        <v>25</v>
      </c>
      <c r="D75" s="28">
        <v>354</v>
      </c>
      <c r="E75" s="28">
        <v>80</v>
      </c>
      <c r="F75" s="28">
        <v>2</v>
      </c>
      <c r="G75" s="28">
        <v>12</v>
      </c>
      <c r="H75" s="28">
        <f>+G75*F75</f>
        <v>24</v>
      </c>
      <c r="I75" s="28"/>
      <c r="J75" s="28">
        <v>21</v>
      </c>
      <c r="K75" s="28">
        <f>+J75*I75</f>
        <v>0</v>
      </c>
      <c r="L75" s="28">
        <f>+K75-H75</f>
        <v>-24</v>
      </c>
      <c r="M75" s="4"/>
    </row>
    <row r="76" spans="1:13" x14ac:dyDescent="0.25">
      <c r="A76" s="28">
        <v>3</v>
      </c>
      <c r="B76" s="28" t="s">
        <v>24</v>
      </c>
      <c r="C76" s="28" t="s">
        <v>25</v>
      </c>
      <c r="D76" s="28">
        <v>928</v>
      </c>
      <c r="E76" s="28">
        <v>80</v>
      </c>
      <c r="F76" s="28">
        <v>2</v>
      </c>
      <c r="G76" s="28">
        <v>12</v>
      </c>
      <c r="H76" s="28">
        <f t="shared" ref="H76" si="23">+G76*F76</f>
        <v>24</v>
      </c>
      <c r="I76" s="28"/>
      <c r="J76" s="28">
        <v>21</v>
      </c>
      <c r="K76" s="28">
        <f t="shared" ref="K76" si="24">+J76*I76</f>
        <v>0</v>
      </c>
      <c r="L76" s="28">
        <f t="shared" ref="L76" si="25">+K76-H76</f>
        <v>-24</v>
      </c>
      <c r="M76" s="4"/>
    </row>
    <row r="77" spans="1:13" x14ac:dyDescent="0.25">
      <c r="A77" s="26"/>
      <c r="B77" s="26" t="s">
        <v>18</v>
      </c>
      <c r="C77" s="26"/>
      <c r="D77" s="26"/>
      <c r="E77" s="26"/>
      <c r="F77" s="26"/>
      <c r="G77" s="26"/>
      <c r="H77" s="26">
        <f>SUM(H74:H76)</f>
        <v>72</v>
      </c>
      <c r="I77" s="26"/>
      <c r="J77" s="26"/>
      <c r="K77" s="26">
        <f>SUM(K74:K76)</f>
        <v>0</v>
      </c>
      <c r="L77" s="26">
        <f>SUM(L74:L76)</f>
        <v>-72</v>
      </c>
      <c r="M77" s="4"/>
    </row>
    <row r="78" spans="1:13" x14ac:dyDescent="0.25">
      <c r="A78" s="43" t="s">
        <v>31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5"/>
    </row>
    <row r="79" spans="1:13" x14ac:dyDescent="0.25">
      <c r="A79" s="38" t="s">
        <v>27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</row>
    <row r="80" spans="1:13" x14ac:dyDescent="0.25">
      <c r="A80" s="28">
        <v>1</v>
      </c>
      <c r="B80" s="28" t="s">
        <v>29</v>
      </c>
      <c r="C80" s="28" t="s">
        <v>30</v>
      </c>
      <c r="D80" s="28">
        <v>291</v>
      </c>
      <c r="E80" s="28">
        <v>80</v>
      </c>
      <c r="F80" s="28">
        <v>2</v>
      </c>
      <c r="G80" s="28">
        <v>21</v>
      </c>
      <c r="H80" s="28">
        <f t="shared" ref="H80:H85" si="26">+G80*F80</f>
        <v>42</v>
      </c>
      <c r="I80" s="28"/>
      <c r="J80" s="28">
        <v>21</v>
      </c>
      <c r="K80" s="28">
        <f t="shared" ref="K80:K85" si="27">+J80*I80</f>
        <v>0</v>
      </c>
      <c r="L80" s="28">
        <f t="shared" ref="L80:L85" si="28">+K80-H80</f>
        <v>-42</v>
      </c>
      <c r="M80" s="4"/>
    </row>
    <row r="81" spans="1:13" x14ac:dyDescent="0.25">
      <c r="A81" s="28">
        <v>2</v>
      </c>
      <c r="B81" s="28" t="s">
        <v>29</v>
      </c>
      <c r="C81" s="28" t="s">
        <v>30</v>
      </c>
      <c r="D81" s="28">
        <v>427</v>
      </c>
      <c r="E81" s="28">
        <v>80</v>
      </c>
      <c r="F81" s="28">
        <v>2</v>
      </c>
      <c r="G81" s="28">
        <v>21</v>
      </c>
      <c r="H81" s="28">
        <f t="shared" si="26"/>
        <v>42</v>
      </c>
      <c r="I81" s="28"/>
      <c r="J81" s="28">
        <v>21</v>
      </c>
      <c r="K81" s="28">
        <f t="shared" si="27"/>
        <v>0</v>
      </c>
      <c r="L81" s="28">
        <f t="shared" si="28"/>
        <v>-42</v>
      </c>
      <c r="M81" s="4"/>
    </row>
    <row r="82" spans="1:13" x14ac:dyDescent="0.25">
      <c r="A82" s="28">
        <v>3</v>
      </c>
      <c r="B82" s="28" t="s">
        <v>29</v>
      </c>
      <c r="C82" s="28" t="s">
        <v>30</v>
      </c>
      <c r="D82" s="28">
        <v>984</v>
      </c>
      <c r="E82" s="28">
        <v>80</v>
      </c>
      <c r="F82" s="28">
        <v>2</v>
      </c>
      <c r="G82" s="28">
        <v>21</v>
      </c>
      <c r="H82" s="28">
        <f t="shared" si="26"/>
        <v>42</v>
      </c>
      <c r="I82" s="28"/>
      <c r="J82" s="28">
        <v>21</v>
      </c>
      <c r="K82" s="28">
        <f t="shared" si="27"/>
        <v>0</v>
      </c>
      <c r="L82" s="28">
        <f t="shared" si="28"/>
        <v>-42</v>
      </c>
      <c r="M82" s="4"/>
    </row>
    <row r="83" spans="1:13" x14ac:dyDescent="0.25">
      <c r="A83" s="28">
        <v>4</v>
      </c>
      <c r="B83" s="28" t="s">
        <v>32</v>
      </c>
      <c r="C83" s="28" t="s">
        <v>33</v>
      </c>
      <c r="D83" s="28">
        <v>869</v>
      </c>
      <c r="E83" s="28">
        <v>88</v>
      </c>
      <c r="F83" s="28">
        <v>2</v>
      </c>
      <c r="G83" s="28">
        <v>24</v>
      </c>
      <c r="H83" s="28">
        <f t="shared" si="26"/>
        <v>48</v>
      </c>
      <c r="I83" s="28"/>
      <c r="J83" s="28">
        <v>24</v>
      </c>
      <c r="K83" s="28">
        <f t="shared" si="27"/>
        <v>0</v>
      </c>
      <c r="L83" s="28">
        <f t="shared" si="28"/>
        <v>-48</v>
      </c>
      <c r="M83" s="4"/>
    </row>
    <row r="84" spans="1:13" x14ac:dyDescent="0.25">
      <c r="A84" s="28">
        <v>5</v>
      </c>
      <c r="B84" s="28" t="s">
        <v>32</v>
      </c>
      <c r="C84" s="28" t="s">
        <v>33</v>
      </c>
      <c r="D84" s="28">
        <v>74</v>
      </c>
      <c r="E84" s="28">
        <v>88</v>
      </c>
      <c r="F84" s="28">
        <v>2</v>
      </c>
      <c r="G84" s="28">
        <v>12</v>
      </c>
      <c r="H84" s="28">
        <f t="shared" si="26"/>
        <v>24</v>
      </c>
      <c r="I84" s="28"/>
      <c r="J84" s="28">
        <v>12</v>
      </c>
      <c r="K84" s="28">
        <f t="shared" si="27"/>
        <v>0</v>
      </c>
      <c r="L84" s="28">
        <f t="shared" si="28"/>
        <v>-24</v>
      </c>
      <c r="M84" s="4"/>
    </row>
    <row r="85" spans="1:13" x14ac:dyDescent="0.25">
      <c r="A85" s="28">
        <v>6</v>
      </c>
      <c r="B85" s="28" t="s">
        <v>32</v>
      </c>
      <c r="C85" s="28" t="s">
        <v>33</v>
      </c>
      <c r="D85" s="28">
        <v>426</v>
      </c>
      <c r="E85" s="28">
        <v>88</v>
      </c>
      <c r="F85" s="28">
        <v>2</v>
      </c>
      <c r="G85" s="28">
        <v>12</v>
      </c>
      <c r="H85" s="28">
        <f t="shared" si="26"/>
        <v>24</v>
      </c>
      <c r="I85" s="28"/>
      <c r="J85" s="28">
        <v>12</v>
      </c>
      <c r="K85" s="28">
        <f t="shared" si="27"/>
        <v>0</v>
      </c>
      <c r="L85" s="28">
        <f t="shared" si="28"/>
        <v>-24</v>
      </c>
      <c r="M85" s="4"/>
    </row>
    <row r="86" spans="1:13" hidden="1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4"/>
    </row>
    <row r="87" spans="1:13" hidden="1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4"/>
    </row>
    <row r="88" spans="1:13" hidden="1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4"/>
    </row>
    <row r="89" spans="1:13" hidden="1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4"/>
    </row>
    <row r="90" spans="1:13" hidden="1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4"/>
    </row>
    <row r="91" spans="1:13" x14ac:dyDescent="0.25">
      <c r="A91" s="26"/>
      <c r="B91" s="26" t="s">
        <v>18</v>
      </c>
      <c r="C91" s="26"/>
      <c r="D91" s="26"/>
      <c r="E91" s="26"/>
      <c r="F91" s="26"/>
      <c r="G91" s="26"/>
      <c r="H91" s="26">
        <f>SUM(H80:H90)</f>
        <v>222</v>
      </c>
      <c r="I91" s="26"/>
      <c r="J91" s="26"/>
      <c r="K91" s="26">
        <f>SUM(K80:K90)</f>
        <v>0</v>
      </c>
      <c r="L91" s="26">
        <f>SUM(L80:L90)</f>
        <v>-222</v>
      </c>
      <c r="M91" s="4"/>
    </row>
  </sheetData>
  <mergeCells count="20">
    <mergeCell ref="A78:M78"/>
    <mergeCell ref="A79:M79"/>
    <mergeCell ref="A19:M19"/>
    <mergeCell ref="A28:M28"/>
    <mergeCell ref="A39:M39"/>
    <mergeCell ref="A49:M49"/>
    <mergeCell ref="A58:M58"/>
    <mergeCell ref="A73:M73"/>
    <mergeCell ref="A11:M11"/>
    <mergeCell ref="A2:A4"/>
    <mergeCell ref="B2:B4"/>
    <mergeCell ref="C2:C4"/>
    <mergeCell ref="D2:D4"/>
    <mergeCell ref="E2:E3"/>
    <mergeCell ref="F2:H2"/>
    <mergeCell ref="I2:K2"/>
    <mergeCell ref="L2:L3"/>
    <mergeCell ref="M2:M4"/>
    <mergeCell ref="A5:M5"/>
    <mergeCell ref="A6:M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2703-484C-4196-9D8B-DF031051BE8B}">
  <dimension ref="A1:M111"/>
  <sheetViews>
    <sheetView zoomScaleNormal="100" workbookViewId="0">
      <pane ySplit="4" topLeftCell="A5" activePane="bottomLeft" state="frozen"/>
      <selection pane="bottomLeft" activeCell="H15" sqref="H15"/>
    </sheetView>
  </sheetViews>
  <sheetFormatPr defaultRowHeight="15" x14ac:dyDescent="0.25"/>
  <cols>
    <col min="1" max="1" width="9.140625" style="6"/>
    <col min="2" max="2" width="11.5703125" style="6" bestFit="1" customWidth="1"/>
    <col min="3" max="3" width="11.7109375" style="6" bestFit="1" customWidth="1"/>
    <col min="4" max="4" width="9.140625" style="6"/>
    <col min="5" max="5" width="10.42578125" style="6" bestFit="1" customWidth="1"/>
    <col min="6" max="12" width="9.140625" style="6"/>
    <col min="13" max="13" width="32.42578125" style="6" customWidth="1"/>
    <col min="14" max="16384" width="9.140625" style="6"/>
  </cols>
  <sheetData>
    <row r="1" spans="1:13" x14ac:dyDescent="0.25">
      <c r="M1" s="12">
        <v>46286</v>
      </c>
    </row>
    <row r="2" spans="1:13" x14ac:dyDescent="0.25">
      <c r="A2" s="40" t="s">
        <v>0</v>
      </c>
      <c r="B2" s="41" t="s">
        <v>1</v>
      </c>
      <c r="C2" s="42" t="s">
        <v>2</v>
      </c>
      <c r="D2" s="42" t="s">
        <v>3</v>
      </c>
      <c r="E2" s="41" t="s">
        <v>4</v>
      </c>
      <c r="F2" s="39" t="s">
        <v>19</v>
      </c>
      <c r="G2" s="39"/>
      <c r="H2" s="39"/>
      <c r="I2" s="39" t="s">
        <v>20</v>
      </c>
      <c r="J2" s="39"/>
      <c r="K2" s="39"/>
      <c r="L2" s="40" t="s">
        <v>10</v>
      </c>
      <c r="M2" s="40" t="s">
        <v>11</v>
      </c>
    </row>
    <row r="3" spans="1:13" ht="45" x14ac:dyDescent="0.25">
      <c r="A3" s="40"/>
      <c r="B3" s="41"/>
      <c r="C3" s="42"/>
      <c r="D3" s="42"/>
      <c r="E3" s="41"/>
      <c r="F3" s="31" t="s">
        <v>5</v>
      </c>
      <c r="G3" s="31" t="s">
        <v>6</v>
      </c>
      <c r="H3" s="31" t="s">
        <v>7</v>
      </c>
      <c r="I3" s="31" t="s">
        <v>8</v>
      </c>
      <c r="J3" s="31" t="s">
        <v>6</v>
      </c>
      <c r="K3" s="31" t="s">
        <v>9</v>
      </c>
      <c r="L3" s="40"/>
      <c r="M3" s="40"/>
    </row>
    <row r="4" spans="1:13" x14ac:dyDescent="0.25">
      <c r="A4" s="40"/>
      <c r="B4" s="41"/>
      <c r="C4" s="42"/>
      <c r="D4" s="42"/>
      <c r="E4" s="32" t="s">
        <v>12</v>
      </c>
      <c r="F4" s="31" t="s">
        <v>13</v>
      </c>
      <c r="G4" s="3" t="s">
        <v>14</v>
      </c>
      <c r="H4" s="31" t="s">
        <v>14</v>
      </c>
      <c r="I4" s="31" t="s">
        <v>13</v>
      </c>
      <c r="J4" s="3" t="s">
        <v>14</v>
      </c>
      <c r="K4" s="31" t="s">
        <v>14</v>
      </c>
      <c r="L4" s="31" t="s">
        <v>14</v>
      </c>
      <c r="M4" s="40"/>
    </row>
    <row r="5" spans="1:13" x14ac:dyDescent="0.25">
      <c r="A5" s="43" t="s">
        <v>15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</row>
    <row r="6" spans="1:13" hidden="1" x14ac:dyDescent="0.25">
      <c r="A6" s="46" t="s">
        <v>39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8"/>
    </row>
    <row r="7" spans="1:13" hidden="1" x14ac:dyDescent="0.25">
      <c r="A7" s="32">
        <v>1</v>
      </c>
      <c r="B7" s="32" t="s">
        <v>16</v>
      </c>
      <c r="C7" s="32" t="s">
        <v>17</v>
      </c>
      <c r="D7" s="32">
        <v>498</v>
      </c>
      <c r="E7" s="32">
        <v>6</v>
      </c>
      <c r="F7" s="32"/>
      <c r="G7" s="32">
        <v>12</v>
      </c>
      <c r="H7" s="32">
        <f>+G7*F7</f>
        <v>0</v>
      </c>
      <c r="I7" s="32"/>
      <c r="J7" s="32">
        <v>12</v>
      </c>
      <c r="K7" s="32">
        <f>+J7*I7</f>
        <v>0</v>
      </c>
      <c r="L7" s="32">
        <f>+K7-H7</f>
        <v>0</v>
      </c>
      <c r="M7" s="4"/>
    </row>
    <row r="8" spans="1:13" hidden="1" x14ac:dyDescent="0.25">
      <c r="A8" s="32">
        <v>2</v>
      </c>
      <c r="B8" s="32" t="s">
        <v>16</v>
      </c>
      <c r="C8" s="32" t="s">
        <v>17</v>
      </c>
      <c r="D8" s="32">
        <v>537</v>
      </c>
      <c r="E8" s="32">
        <v>6</v>
      </c>
      <c r="F8" s="32"/>
      <c r="G8" s="32">
        <v>12</v>
      </c>
      <c r="H8" s="32">
        <f>+G8*F8</f>
        <v>0</v>
      </c>
      <c r="I8" s="32"/>
      <c r="J8" s="32">
        <v>12</v>
      </c>
      <c r="K8" s="32">
        <f>+J8*I8</f>
        <v>0</v>
      </c>
      <c r="L8" s="32">
        <f>+K8-H8</f>
        <v>0</v>
      </c>
      <c r="M8" s="4"/>
    </row>
    <row r="9" spans="1:13" hidden="1" x14ac:dyDescent="0.25">
      <c r="A9" s="32">
        <v>3</v>
      </c>
      <c r="B9" s="32" t="s">
        <v>16</v>
      </c>
      <c r="C9" s="32" t="s">
        <v>17</v>
      </c>
      <c r="D9" s="10">
        <v>525</v>
      </c>
      <c r="E9" s="32">
        <v>6</v>
      </c>
      <c r="F9" s="32"/>
      <c r="G9" s="32">
        <v>12</v>
      </c>
      <c r="H9" s="32">
        <f>+G9*F9</f>
        <v>0</v>
      </c>
      <c r="I9" s="32"/>
      <c r="J9" s="32">
        <v>12</v>
      </c>
      <c r="K9" s="32">
        <f>+J9*I9</f>
        <v>0</v>
      </c>
      <c r="L9" s="32">
        <f>+K9-H9</f>
        <v>0</v>
      </c>
      <c r="M9" s="4"/>
    </row>
    <row r="10" spans="1:13" hidden="1" x14ac:dyDescent="0.25">
      <c r="A10" s="30"/>
      <c r="B10" s="30" t="s">
        <v>18</v>
      </c>
      <c r="C10" s="30"/>
      <c r="D10" s="30"/>
      <c r="E10" s="30"/>
      <c r="F10" s="30"/>
      <c r="G10" s="30"/>
      <c r="H10" s="30">
        <f>SUM(H7:H9)</f>
        <v>0</v>
      </c>
      <c r="I10" s="30"/>
      <c r="J10" s="30"/>
      <c r="K10" s="30">
        <f>SUM(K7:K9)</f>
        <v>0</v>
      </c>
      <c r="L10" s="30">
        <f>SUM(L7:L9)</f>
        <v>0</v>
      </c>
      <c r="M10" s="4"/>
    </row>
    <row r="11" spans="1:13" x14ac:dyDescent="0.25">
      <c r="A11" s="46" t="s">
        <v>21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8"/>
    </row>
    <row r="12" spans="1:13" x14ac:dyDescent="0.25">
      <c r="A12" s="32">
        <v>1</v>
      </c>
      <c r="B12" s="32" t="s">
        <v>16</v>
      </c>
      <c r="C12" s="32" t="s">
        <v>17</v>
      </c>
      <c r="D12" s="32">
        <v>513</v>
      </c>
      <c r="E12" s="32">
        <v>32</v>
      </c>
      <c r="F12" s="32">
        <v>1</v>
      </c>
      <c r="G12" s="32">
        <v>12</v>
      </c>
      <c r="H12" s="32">
        <f>+G12*F12</f>
        <v>12</v>
      </c>
      <c r="I12" s="32">
        <v>1</v>
      </c>
      <c r="J12" s="32">
        <v>12</v>
      </c>
      <c r="K12" s="32">
        <f>+J12*I12</f>
        <v>12</v>
      </c>
      <c r="L12" s="32">
        <f>+K12-H12</f>
        <v>0</v>
      </c>
      <c r="M12" s="4" t="s">
        <v>42</v>
      </c>
    </row>
    <row r="13" spans="1:13" x14ac:dyDescent="0.25">
      <c r="A13" s="32">
        <v>2</v>
      </c>
      <c r="B13" s="32" t="s">
        <v>16</v>
      </c>
      <c r="C13" s="32" t="s">
        <v>17</v>
      </c>
      <c r="D13" s="32">
        <v>498</v>
      </c>
      <c r="E13" s="32">
        <v>32</v>
      </c>
      <c r="F13" s="32">
        <v>1</v>
      </c>
      <c r="G13" s="32">
        <v>12</v>
      </c>
      <c r="H13" s="32">
        <f>+G13*F13</f>
        <v>12</v>
      </c>
      <c r="I13" s="32">
        <v>1</v>
      </c>
      <c r="J13" s="32">
        <v>12</v>
      </c>
      <c r="K13" s="32">
        <f>+J13*I13</f>
        <v>12</v>
      </c>
      <c r="L13" s="32">
        <f>+K13-H13</f>
        <v>0</v>
      </c>
      <c r="M13" s="4" t="s">
        <v>42</v>
      </c>
    </row>
    <row r="14" spans="1:13" x14ac:dyDescent="0.25">
      <c r="A14" s="32">
        <v>3</v>
      </c>
      <c r="B14" s="32" t="s">
        <v>16</v>
      </c>
      <c r="C14" s="32" t="s">
        <v>17</v>
      </c>
      <c r="D14" s="32">
        <v>525</v>
      </c>
      <c r="E14" s="32">
        <v>32</v>
      </c>
      <c r="F14" s="32">
        <v>1</v>
      </c>
      <c r="G14" s="32">
        <v>12</v>
      </c>
      <c r="H14" s="32">
        <f>+G14*F14</f>
        <v>12</v>
      </c>
      <c r="I14" s="32">
        <v>1</v>
      </c>
      <c r="J14" s="32">
        <v>12</v>
      </c>
      <c r="K14" s="32">
        <f>+J14*I14</f>
        <v>12</v>
      </c>
      <c r="L14" s="32">
        <f>+K14-H14</f>
        <v>0</v>
      </c>
      <c r="M14" s="4" t="s">
        <v>42</v>
      </c>
    </row>
    <row r="15" spans="1:13" x14ac:dyDescent="0.25">
      <c r="A15" s="32">
        <v>4</v>
      </c>
      <c r="B15" s="32" t="s">
        <v>16</v>
      </c>
      <c r="C15" s="32" t="s">
        <v>17</v>
      </c>
      <c r="D15" s="32">
        <v>445</v>
      </c>
      <c r="E15" s="32">
        <v>32</v>
      </c>
      <c r="F15" s="32">
        <v>1</v>
      </c>
      <c r="G15" s="32">
        <v>12</v>
      </c>
      <c r="H15" s="32">
        <f t="shared" ref="H15:H18" si="0">+G15*F15</f>
        <v>12</v>
      </c>
      <c r="I15" s="32">
        <v>1</v>
      </c>
      <c r="J15" s="32">
        <v>12</v>
      </c>
      <c r="K15" s="32">
        <f t="shared" ref="K15:K18" si="1">+J15*I15</f>
        <v>12</v>
      </c>
      <c r="L15" s="32">
        <f t="shared" ref="L15:L18" si="2">+K15-H15</f>
        <v>0</v>
      </c>
      <c r="M15" s="4" t="s">
        <v>42</v>
      </c>
    </row>
    <row r="16" spans="1:13" x14ac:dyDescent="0.25">
      <c r="A16" s="32">
        <v>5</v>
      </c>
      <c r="B16" s="32" t="s">
        <v>16</v>
      </c>
      <c r="C16" s="32" t="s">
        <v>17</v>
      </c>
      <c r="D16" s="32">
        <v>564</v>
      </c>
      <c r="E16" s="32">
        <v>32</v>
      </c>
      <c r="F16" s="32">
        <v>1</v>
      </c>
      <c r="G16" s="32">
        <v>12</v>
      </c>
      <c r="H16" s="32">
        <f t="shared" ref="H16" si="3">+G16*F16</f>
        <v>12</v>
      </c>
      <c r="I16" s="32">
        <v>1</v>
      </c>
      <c r="J16" s="32">
        <v>12</v>
      </c>
      <c r="K16" s="32">
        <f t="shared" ref="K16" si="4">+J16*I16</f>
        <v>12</v>
      </c>
      <c r="L16" s="32">
        <f t="shared" ref="L16" si="5">+K16-H16</f>
        <v>0</v>
      </c>
      <c r="M16" s="4" t="s">
        <v>42</v>
      </c>
    </row>
    <row r="17" spans="1:13" x14ac:dyDescent="0.25">
      <c r="A17" s="32">
        <v>6</v>
      </c>
      <c r="B17" s="32" t="s">
        <v>16</v>
      </c>
      <c r="C17" s="32" t="s">
        <v>17</v>
      </c>
      <c r="D17" s="32">
        <v>577</v>
      </c>
      <c r="E17" s="32">
        <v>32</v>
      </c>
      <c r="F17" s="32">
        <v>1</v>
      </c>
      <c r="G17" s="32">
        <v>12</v>
      </c>
      <c r="H17" s="32">
        <f t="shared" si="0"/>
        <v>12</v>
      </c>
      <c r="I17" s="32">
        <v>1</v>
      </c>
      <c r="J17" s="32">
        <v>12</v>
      </c>
      <c r="K17" s="32">
        <f t="shared" si="1"/>
        <v>12</v>
      </c>
      <c r="L17" s="32">
        <f t="shared" si="2"/>
        <v>0</v>
      </c>
      <c r="M17" s="4" t="s">
        <v>42</v>
      </c>
    </row>
    <row r="18" spans="1:13" x14ac:dyDescent="0.25">
      <c r="A18" s="32">
        <v>7</v>
      </c>
      <c r="B18" s="32" t="s">
        <v>16</v>
      </c>
      <c r="C18" s="32" t="s">
        <v>17</v>
      </c>
      <c r="D18" s="32">
        <v>532</v>
      </c>
      <c r="E18" s="32">
        <v>32</v>
      </c>
      <c r="F18" s="32">
        <v>1</v>
      </c>
      <c r="G18" s="32">
        <v>12</v>
      </c>
      <c r="H18" s="32">
        <f t="shared" si="0"/>
        <v>12</v>
      </c>
      <c r="I18" s="32">
        <v>1</v>
      </c>
      <c r="J18" s="32">
        <v>12</v>
      </c>
      <c r="K18" s="32">
        <f t="shared" si="1"/>
        <v>12</v>
      </c>
      <c r="L18" s="32">
        <f t="shared" si="2"/>
        <v>0</v>
      </c>
      <c r="M18" s="4" t="s">
        <v>42</v>
      </c>
    </row>
    <row r="19" spans="1:13" x14ac:dyDescent="0.25">
      <c r="A19" s="30"/>
      <c r="B19" s="30" t="s">
        <v>18</v>
      </c>
      <c r="C19" s="30"/>
      <c r="D19" s="30"/>
      <c r="E19" s="30"/>
      <c r="F19" s="30"/>
      <c r="G19" s="30"/>
      <c r="H19" s="30">
        <f>SUM(H12:H18)</f>
        <v>84</v>
      </c>
      <c r="I19" s="30"/>
      <c r="J19" s="30"/>
      <c r="K19" s="30">
        <f t="shared" ref="K19:L19" si="6">SUM(K12:K18)</f>
        <v>84</v>
      </c>
      <c r="L19" s="30">
        <f t="shared" si="6"/>
        <v>0</v>
      </c>
      <c r="M19" s="4"/>
    </row>
    <row r="20" spans="1:13" x14ac:dyDescent="0.25">
      <c r="A20" s="38" t="s">
        <v>36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spans="1:13" x14ac:dyDescent="0.25">
      <c r="A21" s="32">
        <v>1</v>
      </c>
      <c r="B21" s="32" t="s">
        <v>16</v>
      </c>
      <c r="C21" s="32" t="s">
        <v>17</v>
      </c>
      <c r="D21" s="32">
        <v>513</v>
      </c>
      <c r="E21" s="32">
        <v>6</v>
      </c>
      <c r="F21" s="32">
        <v>10</v>
      </c>
      <c r="G21" s="32">
        <v>12</v>
      </c>
      <c r="H21" s="32">
        <f t="shared" ref="H21:H23" si="7">+G21*F21</f>
        <v>120</v>
      </c>
      <c r="I21" s="33">
        <v>4</v>
      </c>
      <c r="J21" s="32">
        <v>12</v>
      </c>
      <c r="K21" s="32">
        <f t="shared" ref="K21:K23" si="8">+J21*I21</f>
        <v>48</v>
      </c>
      <c r="L21" s="32">
        <f t="shared" ref="L21:L23" si="9">+K21-H21</f>
        <v>-72</v>
      </c>
      <c r="M21" s="4" t="s">
        <v>42</v>
      </c>
    </row>
    <row r="22" spans="1:13" x14ac:dyDescent="0.25">
      <c r="A22" s="32">
        <v>2</v>
      </c>
      <c r="B22" s="32" t="s">
        <v>16</v>
      </c>
      <c r="C22" s="32" t="s">
        <v>17</v>
      </c>
      <c r="D22" s="32">
        <v>498</v>
      </c>
      <c r="E22" s="32">
        <v>6</v>
      </c>
      <c r="F22" s="32">
        <v>10</v>
      </c>
      <c r="G22" s="32">
        <v>12</v>
      </c>
      <c r="H22" s="32">
        <f t="shared" si="7"/>
        <v>120</v>
      </c>
      <c r="I22" s="32">
        <v>4</v>
      </c>
      <c r="J22" s="32">
        <v>12</v>
      </c>
      <c r="K22" s="32">
        <f t="shared" si="8"/>
        <v>48</v>
      </c>
      <c r="L22" s="32">
        <f t="shared" si="9"/>
        <v>-72</v>
      </c>
      <c r="M22" s="4" t="s">
        <v>42</v>
      </c>
    </row>
    <row r="23" spans="1:13" x14ac:dyDescent="0.25">
      <c r="A23" s="32">
        <v>3</v>
      </c>
      <c r="B23" s="32" t="s">
        <v>16</v>
      </c>
      <c r="C23" s="32" t="s">
        <v>17</v>
      </c>
      <c r="D23" s="32">
        <v>525</v>
      </c>
      <c r="E23" s="32">
        <v>6</v>
      </c>
      <c r="F23" s="32">
        <v>10</v>
      </c>
      <c r="G23" s="32">
        <v>12</v>
      </c>
      <c r="H23" s="32">
        <f t="shared" si="7"/>
        <v>120</v>
      </c>
      <c r="I23" s="32">
        <v>4</v>
      </c>
      <c r="J23" s="32">
        <v>12</v>
      </c>
      <c r="K23" s="32">
        <f t="shared" si="8"/>
        <v>48</v>
      </c>
      <c r="L23" s="32">
        <f t="shared" si="9"/>
        <v>-72</v>
      </c>
      <c r="M23" s="4" t="s">
        <v>42</v>
      </c>
    </row>
    <row r="24" spans="1:13" x14ac:dyDescent="0.25">
      <c r="A24" s="32">
        <v>4</v>
      </c>
      <c r="B24" s="32" t="s">
        <v>16</v>
      </c>
      <c r="C24" s="32" t="s">
        <v>17</v>
      </c>
      <c r="D24" s="32">
        <v>445</v>
      </c>
      <c r="E24" s="32">
        <v>6</v>
      </c>
      <c r="F24" s="32">
        <v>10</v>
      </c>
      <c r="G24" s="32">
        <v>12</v>
      </c>
      <c r="H24" s="32">
        <f t="shared" ref="H24:H27" si="10">+G24*F24</f>
        <v>120</v>
      </c>
      <c r="I24" s="32">
        <v>2</v>
      </c>
      <c r="J24" s="32">
        <v>12</v>
      </c>
      <c r="K24" s="32">
        <f t="shared" ref="K24:K27" si="11">+J24*I24</f>
        <v>24</v>
      </c>
      <c r="L24" s="32">
        <f t="shared" ref="L24:L27" si="12">+K24-H24</f>
        <v>-96</v>
      </c>
      <c r="M24" s="4" t="s">
        <v>42</v>
      </c>
    </row>
    <row r="25" spans="1:13" x14ac:dyDescent="0.25">
      <c r="A25" s="32">
        <v>5</v>
      </c>
      <c r="B25" s="32" t="s">
        <v>16</v>
      </c>
      <c r="C25" s="32" t="s">
        <v>17</v>
      </c>
      <c r="D25" s="32">
        <v>564</v>
      </c>
      <c r="E25" s="32">
        <v>6</v>
      </c>
      <c r="F25" s="32">
        <v>10</v>
      </c>
      <c r="G25" s="32">
        <v>12</v>
      </c>
      <c r="H25" s="32">
        <f t="shared" si="10"/>
        <v>120</v>
      </c>
      <c r="I25" s="32">
        <v>2</v>
      </c>
      <c r="J25" s="32">
        <v>12</v>
      </c>
      <c r="K25" s="32">
        <f t="shared" si="11"/>
        <v>24</v>
      </c>
      <c r="L25" s="32">
        <f t="shared" si="12"/>
        <v>-96</v>
      </c>
      <c r="M25" s="4" t="s">
        <v>42</v>
      </c>
    </row>
    <row r="26" spans="1:13" x14ac:dyDescent="0.25">
      <c r="A26" s="32">
        <v>6</v>
      </c>
      <c r="B26" s="32" t="s">
        <v>16</v>
      </c>
      <c r="C26" s="32" t="s">
        <v>17</v>
      </c>
      <c r="D26" s="32">
        <v>537</v>
      </c>
      <c r="E26" s="32">
        <v>6</v>
      </c>
      <c r="F26" s="32">
        <v>10</v>
      </c>
      <c r="G26" s="32">
        <v>12</v>
      </c>
      <c r="H26" s="32">
        <f t="shared" si="10"/>
        <v>120</v>
      </c>
      <c r="I26" s="32">
        <v>4</v>
      </c>
      <c r="J26" s="32">
        <v>12</v>
      </c>
      <c r="K26" s="32">
        <f t="shared" si="11"/>
        <v>48</v>
      </c>
      <c r="L26" s="32">
        <f t="shared" si="12"/>
        <v>-72</v>
      </c>
      <c r="M26" s="4" t="s">
        <v>42</v>
      </c>
    </row>
    <row r="27" spans="1:13" x14ac:dyDescent="0.25">
      <c r="A27" s="32">
        <v>7</v>
      </c>
      <c r="B27" s="32" t="s">
        <v>16</v>
      </c>
      <c r="C27" s="32" t="s">
        <v>17</v>
      </c>
      <c r="D27" s="32">
        <v>532</v>
      </c>
      <c r="E27" s="32">
        <v>6</v>
      </c>
      <c r="F27" s="32">
        <v>10</v>
      </c>
      <c r="G27" s="32">
        <v>12</v>
      </c>
      <c r="H27" s="32">
        <f t="shared" si="10"/>
        <v>120</v>
      </c>
      <c r="I27" s="32">
        <v>1</v>
      </c>
      <c r="J27" s="32">
        <v>12</v>
      </c>
      <c r="K27" s="32">
        <f t="shared" si="11"/>
        <v>12</v>
      </c>
      <c r="L27" s="32">
        <f t="shared" si="12"/>
        <v>-108</v>
      </c>
      <c r="M27" s="4" t="s">
        <v>42</v>
      </c>
    </row>
    <row r="28" spans="1:13" x14ac:dyDescent="0.25">
      <c r="A28" s="30"/>
      <c r="B28" s="30" t="s">
        <v>18</v>
      </c>
      <c r="C28" s="30"/>
      <c r="D28" s="30"/>
      <c r="E28" s="30"/>
      <c r="F28" s="30"/>
      <c r="G28" s="30"/>
      <c r="H28" s="30">
        <f>SUM(H21:H27)</f>
        <v>840</v>
      </c>
      <c r="I28" s="30"/>
      <c r="J28" s="30"/>
      <c r="K28" s="30">
        <f>SUM(K21:K27)</f>
        <v>252</v>
      </c>
      <c r="L28" s="30">
        <f>SUM(L21:L27)</f>
        <v>-588</v>
      </c>
      <c r="M28" s="4"/>
    </row>
    <row r="29" spans="1:13" x14ac:dyDescent="0.25">
      <c r="A29" s="38" t="s">
        <v>41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</row>
    <row r="30" spans="1:13" x14ac:dyDescent="0.25">
      <c r="A30" s="32">
        <v>1</v>
      </c>
      <c r="B30" s="32" t="s">
        <v>16</v>
      </c>
      <c r="C30" s="32" t="s">
        <v>17</v>
      </c>
      <c r="D30" s="32">
        <v>513</v>
      </c>
      <c r="E30" s="32">
        <v>6</v>
      </c>
      <c r="F30" s="32">
        <v>10</v>
      </c>
      <c r="G30" s="32">
        <v>12</v>
      </c>
      <c r="H30" s="32">
        <f t="shared" ref="H30:H36" si="13">+G30*F30</f>
        <v>120</v>
      </c>
      <c r="I30" s="33">
        <v>3</v>
      </c>
      <c r="J30" s="32">
        <v>12</v>
      </c>
      <c r="K30" s="32">
        <f t="shared" ref="K30:K36" si="14">+J30*I30</f>
        <v>36</v>
      </c>
      <c r="L30" s="32">
        <f t="shared" ref="L30:L36" si="15">+K30-H30</f>
        <v>-84</v>
      </c>
      <c r="M30" s="4" t="s">
        <v>42</v>
      </c>
    </row>
    <row r="31" spans="1:13" x14ac:dyDescent="0.25">
      <c r="A31" s="32">
        <v>2</v>
      </c>
      <c r="B31" s="32" t="s">
        <v>16</v>
      </c>
      <c r="C31" s="32" t="s">
        <v>17</v>
      </c>
      <c r="D31" s="32">
        <v>498</v>
      </c>
      <c r="E31" s="32">
        <v>6</v>
      </c>
      <c r="F31" s="32">
        <v>10</v>
      </c>
      <c r="G31" s="32">
        <v>12</v>
      </c>
      <c r="H31" s="32">
        <f t="shared" si="13"/>
        <v>120</v>
      </c>
      <c r="I31" s="32">
        <v>3</v>
      </c>
      <c r="J31" s="32">
        <v>12</v>
      </c>
      <c r="K31" s="32">
        <f t="shared" si="14"/>
        <v>36</v>
      </c>
      <c r="L31" s="32">
        <f t="shared" si="15"/>
        <v>-84</v>
      </c>
      <c r="M31" s="4" t="s">
        <v>42</v>
      </c>
    </row>
    <row r="32" spans="1:13" x14ac:dyDescent="0.25">
      <c r="A32" s="32">
        <v>3</v>
      </c>
      <c r="B32" s="32" t="s">
        <v>16</v>
      </c>
      <c r="C32" s="32" t="s">
        <v>17</v>
      </c>
      <c r="D32" s="32">
        <v>525</v>
      </c>
      <c r="E32" s="32">
        <v>6</v>
      </c>
      <c r="F32" s="32">
        <v>10</v>
      </c>
      <c r="G32" s="32">
        <v>12</v>
      </c>
      <c r="H32" s="32">
        <f t="shared" si="13"/>
        <v>120</v>
      </c>
      <c r="I32" s="32">
        <v>2</v>
      </c>
      <c r="J32" s="32">
        <v>12</v>
      </c>
      <c r="K32" s="32">
        <f t="shared" si="14"/>
        <v>24</v>
      </c>
      <c r="L32" s="32">
        <f t="shared" si="15"/>
        <v>-96</v>
      </c>
      <c r="M32" s="4" t="s">
        <v>42</v>
      </c>
    </row>
    <row r="33" spans="1:13" x14ac:dyDescent="0.25">
      <c r="A33" s="32">
        <v>4</v>
      </c>
      <c r="B33" s="32" t="s">
        <v>16</v>
      </c>
      <c r="C33" s="32" t="s">
        <v>17</v>
      </c>
      <c r="D33" s="32">
        <v>445</v>
      </c>
      <c r="E33" s="32">
        <v>6</v>
      </c>
      <c r="F33" s="32">
        <v>10</v>
      </c>
      <c r="G33" s="32">
        <v>12</v>
      </c>
      <c r="H33" s="32">
        <f t="shared" si="13"/>
        <v>120</v>
      </c>
      <c r="I33" s="32">
        <v>1</v>
      </c>
      <c r="J33" s="32">
        <v>12</v>
      </c>
      <c r="K33" s="32">
        <f t="shared" si="14"/>
        <v>12</v>
      </c>
      <c r="L33" s="32">
        <f t="shared" si="15"/>
        <v>-108</v>
      </c>
      <c r="M33" s="4" t="s">
        <v>42</v>
      </c>
    </row>
    <row r="34" spans="1:13" x14ac:dyDescent="0.25">
      <c r="A34" s="32">
        <v>5</v>
      </c>
      <c r="B34" s="32" t="s">
        <v>16</v>
      </c>
      <c r="C34" s="32" t="s">
        <v>17</v>
      </c>
      <c r="D34" s="32">
        <v>564</v>
      </c>
      <c r="E34" s="32">
        <v>6</v>
      </c>
      <c r="F34" s="32">
        <v>10</v>
      </c>
      <c r="G34" s="32">
        <v>12</v>
      </c>
      <c r="H34" s="32">
        <f t="shared" si="13"/>
        <v>120</v>
      </c>
      <c r="I34" s="32">
        <v>1</v>
      </c>
      <c r="J34" s="32">
        <v>12</v>
      </c>
      <c r="K34" s="32">
        <f t="shared" si="14"/>
        <v>12</v>
      </c>
      <c r="L34" s="32">
        <f t="shared" si="15"/>
        <v>-108</v>
      </c>
      <c r="M34" s="4" t="s">
        <v>42</v>
      </c>
    </row>
    <row r="35" spans="1:13" x14ac:dyDescent="0.25">
      <c r="A35" s="32">
        <v>6</v>
      </c>
      <c r="B35" s="32" t="s">
        <v>16</v>
      </c>
      <c r="C35" s="32" t="s">
        <v>17</v>
      </c>
      <c r="D35" s="32">
        <v>537</v>
      </c>
      <c r="E35" s="32">
        <v>6</v>
      </c>
      <c r="F35" s="32">
        <v>10</v>
      </c>
      <c r="G35" s="32">
        <v>12</v>
      </c>
      <c r="H35" s="32">
        <f t="shared" si="13"/>
        <v>120</v>
      </c>
      <c r="I35" s="32">
        <v>2</v>
      </c>
      <c r="J35" s="32">
        <v>12</v>
      </c>
      <c r="K35" s="32">
        <f t="shared" si="14"/>
        <v>24</v>
      </c>
      <c r="L35" s="32">
        <f t="shared" si="15"/>
        <v>-96</v>
      </c>
      <c r="M35" s="4" t="s">
        <v>42</v>
      </c>
    </row>
    <row r="36" spans="1:13" x14ac:dyDescent="0.25">
      <c r="A36" s="32">
        <v>7</v>
      </c>
      <c r="B36" s="32" t="s">
        <v>16</v>
      </c>
      <c r="C36" s="32" t="s">
        <v>17</v>
      </c>
      <c r="D36" s="32">
        <v>532</v>
      </c>
      <c r="E36" s="32">
        <v>6</v>
      </c>
      <c r="F36" s="32">
        <v>10</v>
      </c>
      <c r="G36" s="32">
        <v>12</v>
      </c>
      <c r="H36" s="32">
        <f t="shared" si="13"/>
        <v>120</v>
      </c>
      <c r="I36" s="32">
        <v>1</v>
      </c>
      <c r="J36" s="32">
        <v>12</v>
      </c>
      <c r="K36" s="32">
        <f t="shared" si="14"/>
        <v>12</v>
      </c>
      <c r="L36" s="32">
        <f t="shared" si="15"/>
        <v>-108</v>
      </c>
      <c r="M36" s="4" t="s">
        <v>42</v>
      </c>
    </row>
    <row r="37" spans="1:13" x14ac:dyDescent="0.25">
      <c r="A37" s="30"/>
      <c r="B37" s="30" t="s">
        <v>18</v>
      </c>
      <c r="C37" s="30"/>
      <c r="D37" s="30"/>
      <c r="E37" s="30"/>
      <c r="F37" s="30"/>
      <c r="G37" s="30"/>
      <c r="H37" s="30">
        <f>SUM(H30:H36)</f>
        <v>840</v>
      </c>
      <c r="I37" s="30"/>
      <c r="J37" s="30"/>
      <c r="K37" s="30">
        <f>SUM(K30:K36)</f>
        <v>156</v>
      </c>
      <c r="L37" s="30">
        <f>SUM(L30:L36)</f>
        <v>-684</v>
      </c>
      <c r="M37" s="4"/>
    </row>
    <row r="38" spans="1:13" x14ac:dyDescent="0.25">
      <c r="A38" s="38" t="s">
        <v>41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</row>
    <row r="39" spans="1:13" x14ac:dyDescent="0.25">
      <c r="A39" s="32">
        <v>1</v>
      </c>
      <c r="B39" s="32" t="s">
        <v>16</v>
      </c>
      <c r="C39" s="32" t="s">
        <v>17</v>
      </c>
      <c r="D39" s="32">
        <v>513</v>
      </c>
      <c r="E39" s="32">
        <v>1</v>
      </c>
      <c r="F39" s="32">
        <v>10</v>
      </c>
      <c r="G39" s="32">
        <v>12</v>
      </c>
      <c r="H39" s="32">
        <f t="shared" ref="H39:H41" si="16">+G39*F39</f>
        <v>120</v>
      </c>
      <c r="I39" s="33">
        <v>4</v>
      </c>
      <c r="J39" s="32">
        <v>12</v>
      </c>
      <c r="K39" s="32">
        <f t="shared" ref="K39:K41" si="17">+J39*I39</f>
        <v>48</v>
      </c>
      <c r="L39" s="32">
        <f t="shared" ref="L39:L41" si="18">+K39-H39</f>
        <v>-72</v>
      </c>
      <c r="M39" s="4" t="s">
        <v>42</v>
      </c>
    </row>
    <row r="40" spans="1:13" x14ac:dyDescent="0.25">
      <c r="A40" s="32">
        <v>2</v>
      </c>
      <c r="B40" s="32" t="s">
        <v>16</v>
      </c>
      <c r="C40" s="32" t="s">
        <v>17</v>
      </c>
      <c r="D40" s="32">
        <v>498</v>
      </c>
      <c r="E40" s="32">
        <v>1</v>
      </c>
      <c r="F40" s="32">
        <v>10</v>
      </c>
      <c r="G40" s="32">
        <v>12</v>
      </c>
      <c r="H40" s="32">
        <f t="shared" si="16"/>
        <v>120</v>
      </c>
      <c r="I40" s="32">
        <v>6</v>
      </c>
      <c r="J40" s="32">
        <v>12</v>
      </c>
      <c r="K40" s="32">
        <f t="shared" si="17"/>
        <v>72</v>
      </c>
      <c r="L40" s="32">
        <f t="shared" si="18"/>
        <v>-48</v>
      </c>
      <c r="M40" s="4" t="s">
        <v>42</v>
      </c>
    </row>
    <row r="41" spans="1:13" x14ac:dyDescent="0.25">
      <c r="A41" s="32">
        <v>3</v>
      </c>
      <c r="B41" s="32" t="s">
        <v>16</v>
      </c>
      <c r="C41" s="32" t="s">
        <v>17</v>
      </c>
      <c r="D41" s="32">
        <v>525</v>
      </c>
      <c r="E41" s="32">
        <v>1</v>
      </c>
      <c r="F41" s="32">
        <v>10</v>
      </c>
      <c r="G41" s="32">
        <v>12</v>
      </c>
      <c r="H41" s="32">
        <f t="shared" si="16"/>
        <v>120</v>
      </c>
      <c r="I41" s="32">
        <v>3</v>
      </c>
      <c r="J41" s="32">
        <v>12</v>
      </c>
      <c r="K41" s="32">
        <f t="shared" si="17"/>
        <v>36</v>
      </c>
      <c r="L41" s="32">
        <f t="shared" si="18"/>
        <v>-84</v>
      </c>
      <c r="M41" s="4" t="s">
        <v>42</v>
      </c>
    </row>
    <row r="42" spans="1:13" hidden="1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4"/>
    </row>
    <row r="43" spans="1:13" hidden="1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4"/>
    </row>
    <row r="44" spans="1:13" hidden="1" x14ac:dyDescent="0.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4"/>
    </row>
    <row r="45" spans="1:13" hidden="1" x14ac:dyDescent="0.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4"/>
    </row>
    <row r="46" spans="1:13" x14ac:dyDescent="0.25">
      <c r="A46" s="30"/>
      <c r="B46" s="30" t="s">
        <v>18</v>
      </c>
      <c r="C46" s="30"/>
      <c r="D46" s="30"/>
      <c r="E46" s="30"/>
      <c r="F46" s="30"/>
      <c r="G46" s="30"/>
      <c r="H46" s="30">
        <f>SUM(H39:H45)</f>
        <v>360</v>
      </c>
      <c r="I46" s="30"/>
      <c r="J46" s="30"/>
      <c r="K46" s="30">
        <f>SUM(K39:K45)</f>
        <v>156</v>
      </c>
      <c r="L46" s="30">
        <f>SUM(L39:L45)</f>
        <v>-204</v>
      </c>
      <c r="M46" s="4"/>
    </row>
    <row r="47" spans="1:13" hidden="1" x14ac:dyDescent="0.25">
      <c r="A47" s="38" t="s">
        <v>27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</row>
    <row r="48" spans="1:13" hidden="1" x14ac:dyDescent="0.25">
      <c r="A48" s="32">
        <v>1</v>
      </c>
      <c r="B48" s="32" t="s">
        <v>16</v>
      </c>
      <c r="C48" s="32" t="s">
        <v>17</v>
      </c>
      <c r="D48" s="32"/>
      <c r="E48" s="32">
        <v>80</v>
      </c>
      <c r="F48" s="32">
        <v>2</v>
      </c>
      <c r="G48" s="32">
        <v>12</v>
      </c>
      <c r="H48" s="32">
        <f t="shared" ref="H48:H51" si="19">+G48*F48</f>
        <v>24</v>
      </c>
      <c r="I48" s="33"/>
      <c r="J48" s="32">
        <v>12</v>
      </c>
      <c r="K48" s="32">
        <f t="shared" ref="K48:K51" si="20">+J48*I48</f>
        <v>0</v>
      </c>
      <c r="L48" s="32">
        <f t="shared" ref="L48:L51" si="21">+K48-H48</f>
        <v>-24</v>
      </c>
      <c r="M48" s="4"/>
    </row>
    <row r="49" spans="1:13" hidden="1" x14ac:dyDescent="0.25">
      <c r="A49" s="32">
        <v>2</v>
      </c>
      <c r="B49" s="32" t="s">
        <v>16</v>
      </c>
      <c r="C49" s="32" t="s">
        <v>17</v>
      </c>
      <c r="D49" s="32"/>
      <c r="E49" s="32">
        <v>80</v>
      </c>
      <c r="F49" s="32">
        <v>2</v>
      </c>
      <c r="G49" s="32">
        <v>12</v>
      </c>
      <c r="H49" s="32">
        <f t="shared" si="19"/>
        <v>24</v>
      </c>
      <c r="I49" s="32"/>
      <c r="J49" s="32">
        <v>12</v>
      </c>
      <c r="K49" s="32">
        <f t="shared" si="20"/>
        <v>0</v>
      </c>
      <c r="L49" s="32">
        <f t="shared" si="21"/>
        <v>-24</v>
      </c>
      <c r="M49" s="4"/>
    </row>
    <row r="50" spans="1:13" hidden="1" x14ac:dyDescent="0.25">
      <c r="A50" s="32">
        <v>3</v>
      </c>
      <c r="B50" s="32" t="s">
        <v>16</v>
      </c>
      <c r="C50" s="32" t="s">
        <v>17</v>
      </c>
      <c r="D50" s="32"/>
      <c r="E50" s="32">
        <v>80</v>
      </c>
      <c r="F50" s="32">
        <v>2</v>
      </c>
      <c r="G50" s="32">
        <v>12</v>
      </c>
      <c r="H50" s="32">
        <f t="shared" si="19"/>
        <v>24</v>
      </c>
      <c r="I50" s="32"/>
      <c r="J50" s="32">
        <v>12</v>
      </c>
      <c r="K50" s="32">
        <f t="shared" si="20"/>
        <v>0</v>
      </c>
      <c r="L50" s="32">
        <f t="shared" si="21"/>
        <v>-24</v>
      </c>
      <c r="M50" s="4"/>
    </row>
    <row r="51" spans="1:13" hidden="1" x14ac:dyDescent="0.25">
      <c r="A51" s="32">
        <v>4</v>
      </c>
      <c r="B51" s="32" t="s">
        <v>16</v>
      </c>
      <c r="C51" s="32" t="s">
        <v>17</v>
      </c>
      <c r="D51" s="32"/>
      <c r="E51" s="32">
        <v>80</v>
      </c>
      <c r="F51" s="32">
        <v>2</v>
      </c>
      <c r="G51" s="32">
        <v>12</v>
      </c>
      <c r="H51" s="32">
        <f t="shared" si="19"/>
        <v>24</v>
      </c>
      <c r="I51" s="33"/>
      <c r="J51" s="32">
        <v>12</v>
      </c>
      <c r="K51" s="32">
        <f t="shared" si="20"/>
        <v>0</v>
      </c>
      <c r="L51" s="32">
        <f t="shared" si="21"/>
        <v>-24</v>
      </c>
      <c r="M51" s="4"/>
    </row>
    <row r="52" spans="1:13" hidden="1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4"/>
    </row>
    <row r="53" spans="1:13" hidden="1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4"/>
    </row>
    <row r="54" spans="1:13" hidden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4"/>
    </row>
    <row r="55" spans="1:13" hidden="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4"/>
    </row>
    <row r="56" spans="1:13" hidden="1" x14ac:dyDescent="0.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4"/>
    </row>
    <row r="57" spans="1:13" hidden="1" x14ac:dyDescent="0.25">
      <c r="A57" s="30"/>
      <c r="B57" s="30" t="s">
        <v>18</v>
      </c>
      <c r="C57" s="30"/>
      <c r="D57" s="30"/>
      <c r="E57" s="30"/>
      <c r="F57" s="30"/>
      <c r="G57" s="30"/>
      <c r="H57" s="30">
        <f>SUM(H48:H56)</f>
        <v>96</v>
      </c>
      <c r="I57" s="30"/>
      <c r="J57" s="30"/>
      <c r="K57" s="30">
        <f>SUM(K48:K56)</f>
        <v>0</v>
      </c>
      <c r="L57" s="30">
        <f>SUM(L48:L56)</f>
        <v>-96</v>
      </c>
      <c r="M57" s="4"/>
    </row>
    <row r="58" spans="1:13" hidden="1" x14ac:dyDescent="0.25">
      <c r="A58" s="38" t="s">
        <v>34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</row>
    <row r="59" spans="1:13" hidden="1" x14ac:dyDescent="0.25">
      <c r="A59" s="32">
        <v>1</v>
      </c>
      <c r="B59" s="32" t="s">
        <v>16</v>
      </c>
      <c r="C59" s="32" t="s">
        <v>17</v>
      </c>
      <c r="D59" s="32"/>
      <c r="E59" s="32">
        <v>80</v>
      </c>
      <c r="F59" s="32">
        <v>2</v>
      </c>
      <c r="G59" s="32">
        <v>12</v>
      </c>
      <c r="H59" s="32">
        <f t="shared" ref="H59:H61" si="22">+G59*F59</f>
        <v>24</v>
      </c>
      <c r="I59" s="33"/>
      <c r="J59" s="32">
        <v>12</v>
      </c>
      <c r="K59" s="32">
        <f t="shared" ref="K59:K61" si="23">+J59*I59</f>
        <v>0</v>
      </c>
      <c r="L59" s="32">
        <f t="shared" ref="L59:L61" si="24">+K59-H59</f>
        <v>-24</v>
      </c>
      <c r="M59" s="4"/>
    </row>
    <row r="60" spans="1:13" hidden="1" x14ac:dyDescent="0.25">
      <c r="A60" s="32">
        <v>2</v>
      </c>
      <c r="B60" s="32" t="s">
        <v>16</v>
      </c>
      <c r="C60" s="32" t="s">
        <v>17</v>
      </c>
      <c r="D60" s="32"/>
      <c r="E60" s="32">
        <v>80</v>
      </c>
      <c r="F60" s="32">
        <v>2</v>
      </c>
      <c r="G60" s="32">
        <v>12</v>
      </c>
      <c r="H60" s="32">
        <f t="shared" si="22"/>
        <v>24</v>
      </c>
      <c r="I60" s="32"/>
      <c r="J60" s="32">
        <v>12</v>
      </c>
      <c r="K60" s="32">
        <f t="shared" si="23"/>
        <v>0</v>
      </c>
      <c r="L60" s="32">
        <f t="shared" si="24"/>
        <v>-24</v>
      </c>
      <c r="M60" s="4"/>
    </row>
    <row r="61" spans="1:13" hidden="1" x14ac:dyDescent="0.25">
      <c r="A61" s="32">
        <v>3</v>
      </c>
      <c r="B61" s="32" t="s">
        <v>16</v>
      </c>
      <c r="C61" s="32" t="s">
        <v>17</v>
      </c>
      <c r="D61" s="32"/>
      <c r="E61" s="32">
        <v>80</v>
      </c>
      <c r="F61" s="32">
        <v>2</v>
      </c>
      <c r="G61" s="32">
        <v>12</v>
      </c>
      <c r="H61" s="32">
        <f t="shared" si="22"/>
        <v>24</v>
      </c>
      <c r="I61" s="32"/>
      <c r="J61" s="32">
        <v>12</v>
      </c>
      <c r="K61" s="32">
        <f t="shared" si="23"/>
        <v>0</v>
      </c>
      <c r="L61" s="32">
        <f t="shared" si="24"/>
        <v>-24</v>
      </c>
      <c r="M61" s="4"/>
    </row>
    <row r="62" spans="1:13" hidden="1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4"/>
    </row>
    <row r="63" spans="1:13" hidden="1" x14ac:dyDescent="0.2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4"/>
    </row>
    <row r="64" spans="1:13" hidden="1" x14ac:dyDescent="0.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4"/>
    </row>
    <row r="65" spans="1:13" hidden="1" x14ac:dyDescent="0.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4"/>
    </row>
    <row r="66" spans="1:13" hidden="1" x14ac:dyDescent="0.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4"/>
    </row>
    <row r="67" spans="1:13" hidden="1" x14ac:dyDescent="0.25">
      <c r="A67" s="30"/>
      <c r="B67" s="30" t="s">
        <v>18</v>
      </c>
      <c r="C67" s="30"/>
      <c r="D67" s="30"/>
      <c r="E67" s="30"/>
      <c r="F67" s="30"/>
      <c r="G67" s="30"/>
      <c r="H67" s="30">
        <f>SUM(H59:H66)</f>
        <v>72</v>
      </c>
      <c r="I67" s="30"/>
      <c r="J67" s="30"/>
      <c r="K67" s="30">
        <f>SUM(K59:K66)</f>
        <v>0</v>
      </c>
      <c r="L67" s="30">
        <f>SUM(L59:L66)</f>
        <v>-72</v>
      </c>
      <c r="M67" s="4"/>
    </row>
    <row r="68" spans="1:13" hidden="1" x14ac:dyDescent="0.25">
      <c r="A68" s="38" t="s">
        <v>27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</row>
    <row r="69" spans="1:13" hidden="1" x14ac:dyDescent="0.25">
      <c r="A69" s="32">
        <v>1</v>
      </c>
      <c r="B69" s="32" t="s">
        <v>24</v>
      </c>
      <c r="C69" s="32" t="s">
        <v>25</v>
      </c>
      <c r="D69" s="32">
        <v>912</v>
      </c>
      <c r="E69" s="32">
        <v>80</v>
      </c>
      <c r="F69" s="32">
        <v>2</v>
      </c>
      <c r="G69" s="32">
        <v>12</v>
      </c>
      <c r="H69" s="32">
        <f>+G69*F69</f>
        <v>24</v>
      </c>
      <c r="I69" s="32"/>
      <c r="J69" s="32">
        <v>12</v>
      </c>
      <c r="K69" s="32">
        <f>+J69*I69</f>
        <v>0</v>
      </c>
      <c r="L69" s="32">
        <f>+K69-H69</f>
        <v>-24</v>
      </c>
      <c r="M69" s="4"/>
    </row>
    <row r="70" spans="1:13" hidden="1" x14ac:dyDescent="0.25">
      <c r="A70" s="32">
        <v>2</v>
      </c>
      <c r="B70" s="32" t="s">
        <v>29</v>
      </c>
      <c r="C70" s="32" t="s">
        <v>30</v>
      </c>
      <c r="D70" s="32">
        <v>235</v>
      </c>
      <c r="E70" s="32">
        <v>80</v>
      </c>
      <c r="F70" s="32">
        <v>2</v>
      </c>
      <c r="G70" s="32">
        <v>21</v>
      </c>
      <c r="H70" s="32">
        <f>+G70*F70</f>
        <v>42</v>
      </c>
      <c r="I70" s="32"/>
      <c r="J70" s="32">
        <v>21</v>
      </c>
      <c r="K70" s="32">
        <f>+J70*I70</f>
        <v>0</v>
      </c>
      <c r="L70" s="32">
        <f>+K70-H70</f>
        <v>-42</v>
      </c>
      <c r="M70" s="4"/>
    </row>
    <row r="71" spans="1:13" hidden="1" x14ac:dyDescent="0.25">
      <c r="A71" s="32">
        <v>3</v>
      </c>
      <c r="B71" s="32" t="s">
        <v>29</v>
      </c>
      <c r="C71" s="32" t="s">
        <v>30</v>
      </c>
      <c r="D71" s="32">
        <v>274</v>
      </c>
      <c r="E71" s="32">
        <v>80</v>
      </c>
      <c r="F71" s="32">
        <v>2</v>
      </c>
      <c r="G71" s="32">
        <v>21</v>
      </c>
      <c r="H71" s="32">
        <f t="shared" ref="H71:H75" si="25">+G71*F71</f>
        <v>42</v>
      </c>
      <c r="I71" s="32"/>
      <c r="J71" s="32">
        <v>21</v>
      </c>
      <c r="K71" s="32">
        <f t="shared" ref="K71:K75" si="26">+J71*I71</f>
        <v>0</v>
      </c>
      <c r="L71" s="32">
        <f t="shared" ref="L71:L75" si="27">+K71-H71</f>
        <v>-42</v>
      </c>
      <c r="M71" s="4"/>
    </row>
    <row r="72" spans="1:13" hidden="1" x14ac:dyDescent="0.25">
      <c r="A72" s="32">
        <v>4</v>
      </c>
      <c r="B72" s="32" t="s">
        <v>29</v>
      </c>
      <c r="C72" s="32" t="s">
        <v>30</v>
      </c>
      <c r="D72" s="32">
        <v>283</v>
      </c>
      <c r="E72" s="32">
        <v>80</v>
      </c>
      <c r="F72" s="32">
        <v>2</v>
      </c>
      <c r="G72" s="32">
        <v>21</v>
      </c>
      <c r="H72" s="32">
        <f t="shared" si="25"/>
        <v>42</v>
      </c>
      <c r="I72" s="32"/>
      <c r="J72" s="32">
        <v>21</v>
      </c>
      <c r="K72" s="32">
        <f t="shared" si="26"/>
        <v>0</v>
      </c>
      <c r="L72" s="32">
        <f t="shared" si="27"/>
        <v>-42</v>
      </c>
      <c r="M72" s="4"/>
    </row>
    <row r="73" spans="1:13" hidden="1" x14ac:dyDescent="0.25">
      <c r="A73" s="32">
        <v>5</v>
      </c>
      <c r="B73" s="32" t="s">
        <v>29</v>
      </c>
      <c r="C73" s="32" t="s">
        <v>30</v>
      </c>
      <c r="D73" s="32">
        <v>138</v>
      </c>
      <c r="E73" s="32">
        <v>80</v>
      </c>
      <c r="F73" s="32">
        <v>2</v>
      </c>
      <c r="G73" s="32">
        <v>21</v>
      </c>
      <c r="H73" s="32">
        <f t="shared" si="25"/>
        <v>42</v>
      </c>
      <c r="I73" s="32"/>
      <c r="J73" s="32">
        <v>21</v>
      </c>
      <c r="K73" s="32">
        <f t="shared" si="26"/>
        <v>0</v>
      </c>
      <c r="L73" s="32">
        <f t="shared" si="27"/>
        <v>-42</v>
      </c>
      <c r="M73" s="4"/>
    </row>
    <row r="74" spans="1:13" hidden="1" x14ac:dyDescent="0.25">
      <c r="A74" s="32">
        <v>6</v>
      </c>
      <c r="B74" s="32" t="s">
        <v>29</v>
      </c>
      <c r="C74" s="32" t="s">
        <v>30</v>
      </c>
      <c r="D74" s="32">
        <v>984</v>
      </c>
      <c r="E74" s="32">
        <v>80</v>
      </c>
      <c r="F74" s="32">
        <v>2</v>
      </c>
      <c r="G74" s="32">
        <v>21</v>
      </c>
      <c r="H74" s="32">
        <f t="shared" si="25"/>
        <v>42</v>
      </c>
      <c r="I74" s="32"/>
      <c r="J74" s="32">
        <v>21</v>
      </c>
      <c r="K74" s="32">
        <f t="shared" si="26"/>
        <v>0</v>
      </c>
      <c r="L74" s="32">
        <f t="shared" si="27"/>
        <v>-42</v>
      </c>
      <c r="M74" s="4"/>
    </row>
    <row r="75" spans="1:13" hidden="1" x14ac:dyDescent="0.25">
      <c r="A75" s="32">
        <v>7</v>
      </c>
      <c r="B75" s="32" t="s">
        <v>29</v>
      </c>
      <c r="C75" s="32" t="s">
        <v>30</v>
      </c>
      <c r="D75" s="32">
        <v>291</v>
      </c>
      <c r="E75" s="32">
        <v>80</v>
      </c>
      <c r="F75" s="32">
        <v>2</v>
      </c>
      <c r="G75" s="32">
        <v>21</v>
      </c>
      <c r="H75" s="32">
        <f t="shared" si="25"/>
        <v>42</v>
      </c>
      <c r="I75" s="32"/>
      <c r="J75" s="32">
        <v>21</v>
      </c>
      <c r="K75" s="32">
        <f t="shared" si="26"/>
        <v>0</v>
      </c>
      <c r="L75" s="32">
        <f t="shared" si="27"/>
        <v>-42</v>
      </c>
      <c r="M75" s="4"/>
    </row>
    <row r="76" spans="1:13" hidden="1" x14ac:dyDescent="0.25">
      <c r="A76" s="30"/>
      <c r="B76" s="30" t="s">
        <v>18</v>
      </c>
      <c r="C76" s="30"/>
      <c r="D76" s="30"/>
      <c r="E76" s="30"/>
      <c r="F76" s="30"/>
      <c r="G76" s="30"/>
      <c r="H76" s="30">
        <f>SUM(H69:H75)</f>
        <v>276</v>
      </c>
      <c r="I76" s="30"/>
      <c r="J76" s="30"/>
      <c r="K76" s="30">
        <f>SUM(K69:K75)</f>
        <v>0</v>
      </c>
      <c r="L76" s="30">
        <f>SUM(L69:L75)</f>
        <v>-276</v>
      </c>
      <c r="M76" s="4"/>
    </row>
    <row r="77" spans="1:13" x14ac:dyDescent="0.25">
      <c r="A77" s="38" t="s">
        <v>37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</row>
    <row r="78" spans="1:13" x14ac:dyDescent="0.25">
      <c r="A78" s="32">
        <v>1</v>
      </c>
      <c r="B78" s="32" t="s">
        <v>16</v>
      </c>
      <c r="C78" s="32" t="s">
        <v>17</v>
      </c>
      <c r="D78" s="32">
        <v>476</v>
      </c>
      <c r="E78" s="32">
        <v>35</v>
      </c>
      <c r="F78" s="32">
        <v>3</v>
      </c>
      <c r="G78" s="32">
        <v>28</v>
      </c>
      <c r="H78" s="32">
        <f>+G78*F78</f>
        <v>84</v>
      </c>
      <c r="I78" s="32">
        <v>3</v>
      </c>
      <c r="J78" s="32"/>
      <c r="K78" s="32">
        <v>84.01</v>
      </c>
      <c r="L78" s="32">
        <f>+K78-H78</f>
        <v>1.0000000000005116E-2</v>
      </c>
      <c r="M78" s="4"/>
    </row>
    <row r="79" spans="1:13" x14ac:dyDescent="0.25">
      <c r="A79" s="32">
        <v>2</v>
      </c>
      <c r="B79" s="32" t="s">
        <v>16</v>
      </c>
      <c r="C79" s="32" t="s">
        <v>17</v>
      </c>
      <c r="D79" s="32">
        <v>274</v>
      </c>
      <c r="E79" s="32">
        <v>35</v>
      </c>
      <c r="F79" s="32">
        <v>3</v>
      </c>
      <c r="G79" s="32">
        <v>28</v>
      </c>
      <c r="H79" s="32">
        <f>+G79*F79</f>
        <v>84</v>
      </c>
      <c r="I79" s="32">
        <v>3</v>
      </c>
      <c r="J79" s="32"/>
      <c r="K79" s="32">
        <v>84.19</v>
      </c>
      <c r="L79" s="32">
        <f>+K79-H79</f>
        <v>0.18999999999999773</v>
      </c>
      <c r="M79" s="4"/>
    </row>
    <row r="80" spans="1:13" x14ac:dyDescent="0.25">
      <c r="A80" s="32">
        <v>3</v>
      </c>
      <c r="B80" s="32" t="s">
        <v>16</v>
      </c>
      <c r="C80" s="32" t="s">
        <v>17</v>
      </c>
      <c r="D80" s="32">
        <v>365</v>
      </c>
      <c r="E80" s="32">
        <v>35</v>
      </c>
      <c r="F80" s="32">
        <v>3</v>
      </c>
      <c r="G80" s="32">
        <v>28</v>
      </c>
      <c r="H80" s="32">
        <f t="shared" ref="H80:H90" si="28">+G80*F80</f>
        <v>84</v>
      </c>
      <c r="I80" s="32">
        <v>2</v>
      </c>
      <c r="J80" s="32"/>
      <c r="K80" s="32">
        <v>56.26</v>
      </c>
      <c r="L80" s="32">
        <f t="shared" ref="L80:L90" si="29">+K80-H80</f>
        <v>-27.740000000000002</v>
      </c>
      <c r="M80" s="4"/>
    </row>
    <row r="81" spans="1:13" x14ac:dyDescent="0.25">
      <c r="A81" s="32">
        <v>4</v>
      </c>
      <c r="B81" s="32" t="s">
        <v>16</v>
      </c>
      <c r="C81" s="32" t="s">
        <v>17</v>
      </c>
      <c r="D81" s="32">
        <v>797</v>
      </c>
      <c r="E81" s="32">
        <v>35</v>
      </c>
      <c r="F81" s="32">
        <v>3</v>
      </c>
      <c r="G81" s="32">
        <v>28</v>
      </c>
      <c r="H81" s="32">
        <f t="shared" si="28"/>
        <v>84</v>
      </c>
      <c r="I81" s="32">
        <v>3</v>
      </c>
      <c r="J81" s="32"/>
      <c r="K81" s="32">
        <v>84.1</v>
      </c>
      <c r="L81" s="32">
        <f t="shared" si="29"/>
        <v>9.9999999999994316E-2</v>
      </c>
      <c r="M81" s="4"/>
    </row>
    <row r="82" spans="1:13" x14ac:dyDescent="0.25">
      <c r="A82" s="32">
        <v>5</v>
      </c>
      <c r="B82" s="32" t="s">
        <v>16</v>
      </c>
      <c r="C82" s="32" t="s">
        <v>17</v>
      </c>
      <c r="D82" s="32">
        <v>368</v>
      </c>
      <c r="E82" s="32">
        <v>35</v>
      </c>
      <c r="F82" s="32">
        <v>3</v>
      </c>
      <c r="G82" s="32">
        <v>28</v>
      </c>
      <c r="H82" s="32">
        <f t="shared" si="28"/>
        <v>84</v>
      </c>
      <c r="I82" s="32">
        <v>3</v>
      </c>
      <c r="J82" s="32"/>
      <c r="K82" s="32">
        <v>83.98</v>
      </c>
      <c r="L82" s="32">
        <f t="shared" si="29"/>
        <v>-1.9999999999996021E-2</v>
      </c>
      <c r="M82" s="4"/>
    </row>
    <row r="83" spans="1:13" x14ac:dyDescent="0.25">
      <c r="A83" s="32">
        <v>6</v>
      </c>
      <c r="B83" s="32" t="s">
        <v>16</v>
      </c>
      <c r="C83" s="32" t="s">
        <v>17</v>
      </c>
      <c r="D83" s="32">
        <v>730</v>
      </c>
      <c r="E83" s="32">
        <v>35</v>
      </c>
      <c r="F83" s="32">
        <v>3</v>
      </c>
      <c r="G83" s="32">
        <v>28</v>
      </c>
      <c r="H83" s="32">
        <f t="shared" si="28"/>
        <v>84</v>
      </c>
      <c r="I83" s="32">
        <v>3</v>
      </c>
      <c r="J83" s="32"/>
      <c r="K83" s="32">
        <v>83.75</v>
      </c>
      <c r="L83" s="32">
        <f t="shared" si="29"/>
        <v>-0.25</v>
      </c>
      <c r="M83" s="4"/>
    </row>
    <row r="84" spans="1:13" x14ac:dyDescent="0.25">
      <c r="A84" s="32">
        <v>7</v>
      </c>
      <c r="B84" s="32" t="s">
        <v>16</v>
      </c>
      <c r="C84" s="32" t="s">
        <v>17</v>
      </c>
      <c r="D84" s="32">
        <v>708</v>
      </c>
      <c r="E84" s="32">
        <v>35</v>
      </c>
      <c r="F84" s="32">
        <v>3</v>
      </c>
      <c r="G84" s="32">
        <v>28</v>
      </c>
      <c r="H84" s="32">
        <f t="shared" si="28"/>
        <v>84</v>
      </c>
      <c r="I84" s="32">
        <v>2</v>
      </c>
      <c r="J84" s="32"/>
      <c r="K84" s="32">
        <v>56.09</v>
      </c>
      <c r="L84" s="32">
        <f t="shared" si="29"/>
        <v>-27.909999999999997</v>
      </c>
      <c r="M84" s="4"/>
    </row>
    <row r="85" spans="1:13" x14ac:dyDescent="0.25">
      <c r="A85" s="32">
        <v>8</v>
      </c>
      <c r="B85" s="32" t="s">
        <v>16</v>
      </c>
      <c r="C85" s="32" t="s">
        <v>17</v>
      </c>
      <c r="D85" s="32">
        <v>428</v>
      </c>
      <c r="E85" s="32">
        <v>35</v>
      </c>
      <c r="F85" s="32">
        <v>3</v>
      </c>
      <c r="G85" s="32">
        <v>28</v>
      </c>
      <c r="H85" s="32">
        <f t="shared" si="28"/>
        <v>84</v>
      </c>
      <c r="I85" s="32">
        <v>2</v>
      </c>
      <c r="J85" s="32"/>
      <c r="K85" s="32">
        <v>56.16</v>
      </c>
      <c r="L85" s="32">
        <f t="shared" si="29"/>
        <v>-27.840000000000003</v>
      </c>
      <c r="M85" s="4"/>
    </row>
    <row r="86" spans="1:13" x14ac:dyDescent="0.25">
      <c r="A86" s="32">
        <v>9</v>
      </c>
      <c r="B86" s="32" t="s">
        <v>16</v>
      </c>
      <c r="C86" s="32" t="s">
        <v>17</v>
      </c>
      <c r="D86" s="32">
        <v>976</v>
      </c>
      <c r="E86" s="32">
        <v>35</v>
      </c>
      <c r="F86" s="32">
        <v>3</v>
      </c>
      <c r="G86" s="32">
        <v>28</v>
      </c>
      <c r="H86" s="32">
        <f t="shared" si="28"/>
        <v>84</v>
      </c>
      <c r="I86" s="32">
        <v>1</v>
      </c>
      <c r="J86" s="32"/>
      <c r="K86" s="32">
        <v>27.87</v>
      </c>
      <c r="L86" s="32">
        <f t="shared" si="29"/>
        <v>-56.129999999999995</v>
      </c>
      <c r="M86" s="4"/>
    </row>
    <row r="87" spans="1:13" x14ac:dyDescent="0.25">
      <c r="A87" s="32">
        <v>10</v>
      </c>
      <c r="B87" s="32" t="s">
        <v>16</v>
      </c>
      <c r="C87" s="32" t="s">
        <v>17</v>
      </c>
      <c r="D87" s="32">
        <v>796</v>
      </c>
      <c r="E87" s="32">
        <v>35</v>
      </c>
      <c r="F87" s="32">
        <v>3</v>
      </c>
      <c r="G87" s="32">
        <v>28</v>
      </c>
      <c r="H87" s="32">
        <f t="shared" si="28"/>
        <v>84</v>
      </c>
      <c r="I87" s="32">
        <v>2</v>
      </c>
      <c r="J87" s="32"/>
      <c r="K87" s="32">
        <v>56.01</v>
      </c>
      <c r="L87" s="32">
        <f t="shared" si="29"/>
        <v>-27.990000000000002</v>
      </c>
      <c r="M87" s="4"/>
    </row>
    <row r="88" spans="1:13" hidden="1" x14ac:dyDescent="0.25">
      <c r="A88" s="32">
        <v>11</v>
      </c>
      <c r="B88" s="32" t="s">
        <v>16</v>
      </c>
      <c r="C88" s="32" t="s">
        <v>17</v>
      </c>
      <c r="D88" s="32"/>
      <c r="E88" s="32">
        <v>35</v>
      </c>
      <c r="F88" s="32">
        <v>3</v>
      </c>
      <c r="G88" s="32">
        <v>28</v>
      </c>
      <c r="H88" s="32">
        <f t="shared" si="28"/>
        <v>84</v>
      </c>
      <c r="I88" s="32"/>
      <c r="J88" s="32"/>
      <c r="K88" s="32"/>
      <c r="L88" s="32">
        <f t="shared" si="29"/>
        <v>-84</v>
      </c>
      <c r="M88" s="4"/>
    </row>
    <row r="89" spans="1:13" hidden="1" x14ac:dyDescent="0.25">
      <c r="A89" s="32">
        <v>12</v>
      </c>
      <c r="B89" s="32" t="s">
        <v>16</v>
      </c>
      <c r="C89" s="32" t="s">
        <v>17</v>
      </c>
      <c r="D89" s="32"/>
      <c r="E89" s="32">
        <v>35</v>
      </c>
      <c r="F89" s="32">
        <v>3</v>
      </c>
      <c r="G89" s="32">
        <v>28</v>
      </c>
      <c r="H89" s="32">
        <f t="shared" si="28"/>
        <v>84</v>
      </c>
      <c r="I89" s="32"/>
      <c r="J89" s="32"/>
      <c r="K89" s="32"/>
      <c r="L89" s="32">
        <f t="shared" si="29"/>
        <v>-84</v>
      </c>
      <c r="M89" s="4"/>
    </row>
    <row r="90" spans="1:13" hidden="1" x14ac:dyDescent="0.25">
      <c r="A90" s="32">
        <v>13</v>
      </c>
      <c r="B90" s="32" t="s">
        <v>16</v>
      </c>
      <c r="C90" s="32" t="s">
        <v>17</v>
      </c>
      <c r="D90" s="32"/>
      <c r="E90" s="32">
        <v>35</v>
      </c>
      <c r="F90" s="32">
        <v>3</v>
      </c>
      <c r="G90" s="32">
        <v>28</v>
      </c>
      <c r="H90" s="32">
        <f t="shared" si="28"/>
        <v>84</v>
      </c>
      <c r="I90" s="32"/>
      <c r="J90" s="32"/>
      <c r="K90" s="32"/>
      <c r="L90" s="32">
        <f t="shared" si="29"/>
        <v>-84</v>
      </c>
      <c r="M90" s="4"/>
    </row>
    <row r="91" spans="1:13" x14ac:dyDescent="0.25">
      <c r="A91" s="30"/>
      <c r="B91" s="30" t="s">
        <v>18</v>
      </c>
      <c r="C91" s="30"/>
      <c r="D91" s="30"/>
      <c r="E91" s="30"/>
      <c r="F91" s="30"/>
      <c r="G91" s="30"/>
      <c r="H91" s="30">
        <f>SUM(H78:H90)</f>
        <v>1092</v>
      </c>
      <c r="I91" s="30"/>
      <c r="J91" s="30"/>
      <c r="K91" s="30">
        <f>SUM(K78:K90)</f>
        <v>672.42</v>
      </c>
      <c r="L91" s="30">
        <f>SUM(L78:L90)</f>
        <v>-419.58000000000004</v>
      </c>
      <c r="M91" s="25" t="s">
        <v>38</v>
      </c>
    </row>
    <row r="92" spans="1:13" hidden="1" x14ac:dyDescent="0.25">
      <c r="A92" s="38" t="s">
        <v>35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</row>
    <row r="93" spans="1:13" hidden="1" x14ac:dyDescent="0.25">
      <c r="A93" s="32">
        <v>1</v>
      </c>
      <c r="B93" s="32" t="s">
        <v>24</v>
      </c>
      <c r="C93" s="32" t="s">
        <v>25</v>
      </c>
      <c r="D93" s="32"/>
      <c r="E93" s="32">
        <v>80</v>
      </c>
      <c r="F93" s="32">
        <v>2</v>
      </c>
      <c r="G93" s="32">
        <v>12</v>
      </c>
      <c r="H93" s="32">
        <f>+G93*F93</f>
        <v>24</v>
      </c>
      <c r="I93" s="32"/>
      <c r="J93" s="32">
        <v>12</v>
      </c>
      <c r="K93" s="32">
        <f>+J93*I93</f>
        <v>0</v>
      </c>
      <c r="L93" s="32">
        <f>+K93-H93</f>
        <v>-24</v>
      </c>
      <c r="M93" s="4"/>
    </row>
    <row r="94" spans="1:13" hidden="1" x14ac:dyDescent="0.25">
      <c r="A94" s="32">
        <v>2</v>
      </c>
      <c r="B94" s="32" t="s">
        <v>24</v>
      </c>
      <c r="C94" s="32" t="s">
        <v>25</v>
      </c>
      <c r="D94" s="32"/>
      <c r="E94" s="32">
        <v>80</v>
      </c>
      <c r="F94" s="32">
        <v>2</v>
      </c>
      <c r="G94" s="32">
        <v>12</v>
      </c>
      <c r="H94" s="32">
        <f>+G94*F94</f>
        <v>24</v>
      </c>
      <c r="I94" s="32"/>
      <c r="J94" s="32">
        <v>21</v>
      </c>
      <c r="K94" s="32">
        <f>+J94*I94</f>
        <v>0</v>
      </c>
      <c r="L94" s="32">
        <f>+K94-H94</f>
        <v>-24</v>
      </c>
      <c r="M94" s="4"/>
    </row>
    <row r="95" spans="1:13" hidden="1" x14ac:dyDescent="0.25">
      <c r="A95" s="32">
        <v>3</v>
      </c>
      <c r="B95" s="32" t="s">
        <v>24</v>
      </c>
      <c r="C95" s="32" t="s">
        <v>25</v>
      </c>
      <c r="D95" s="32"/>
      <c r="E95" s="32">
        <v>80</v>
      </c>
      <c r="F95" s="32">
        <v>2</v>
      </c>
      <c r="G95" s="32">
        <v>12</v>
      </c>
      <c r="H95" s="32">
        <f t="shared" ref="H95" si="30">+G95*F95</f>
        <v>24</v>
      </c>
      <c r="I95" s="32"/>
      <c r="J95" s="32">
        <v>21</v>
      </c>
      <c r="K95" s="32">
        <f t="shared" ref="K95" si="31">+J95*I95</f>
        <v>0</v>
      </c>
      <c r="L95" s="32">
        <f t="shared" ref="L95" si="32">+K95-H95</f>
        <v>-24</v>
      </c>
      <c r="M95" s="4"/>
    </row>
    <row r="96" spans="1:13" hidden="1" x14ac:dyDescent="0.25">
      <c r="A96" s="30"/>
      <c r="B96" s="30" t="s">
        <v>18</v>
      </c>
      <c r="C96" s="30"/>
      <c r="D96" s="30"/>
      <c r="E96" s="30"/>
      <c r="F96" s="30"/>
      <c r="G96" s="30"/>
      <c r="H96" s="30">
        <f>SUM(H93:H95)</f>
        <v>72</v>
      </c>
      <c r="I96" s="30"/>
      <c r="J96" s="30"/>
      <c r="K96" s="30">
        <f>SUM(K93:K95)</f>
        <v>0</v>
      </c>
      <c r="L96" s="30">
        <f>SUM(L93:L95)</f>
        <v>-72</v>
      </c>
      <c r="M96" s="4"/>
    </row>
    <row r="97" spans="1:13" x14ac:dyDescent="0.25">
      <c r="A97" s="43" t="s">
        <v>31</v>
      </c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5"/>
    </row>
    <row r="98" spans="1:13" hidden="1" x14ac:dyDescent="0.25">
      <c r="A98" s="38" t="s">
        <v>27</v>
      </c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</row>
    <row r="99" spans="1:13" hidden="1" x14ac:dyDescent="0.25">
      <c r="A99" s="32">
        <v>1</v>
      </c>
      <c r="B99" s="32" t="s">
        <v>29</v>
      </c>
      <c r="C99" s="32" t="s">
        <v>30</v>
      </c>
      <c r="D99" s="32"/>
      <c r="E99" s="32">
        <v>80</v>
      </c>
      <c r="F99" s="32">
        <v>2</v>
      </c>
      <c r="G99" s="32">
        <v>21</v>
      </c>
      <c r="H99" s="32">
        <f t="shared" ref="H99:H104" si="33">+G99*F99</f>
        <v>42</v>
      </c>
      <c r="I99" s="32"/>
      <c r="J99" s="32">
        <v>21</v>
      </c>
      <c r="K99" s="32">
        <f t="shared" ref="K99:K104" si="34">+J99*I99</f>
        <v>0</v>
      </c>
      <c r="L99" s="32">
        <f t="shared" ref="L99:L104" si="35">+K99-H99</f>
        <v>-42</v>
      </c>
      <c r="M99" s="4"/>
    </row>
    <row r="100" spans="1:13" hidden="1" x14ac:dyDescent="0.25">
      <c r="A100" s="32">
        <v>2</v>
      </c>
      <c r="B100" s="32" t="s">
        <v>29</v>
      </c>
      <c r="C100" s="32" t="s">
        <v>30</v>
      </c>
      <c r="D100" s="32"/>
      <c r="E100" s="32">
        <v>80</v>
      </c>
      <c r="F100" s="32">
        <v>2</v>
      </c>
      <c r="G100" s="32">
        <v>21</v>
      </c>
      <c r="H100" s="32">
        <f t="shared" si="33"/>
        <v>42</v>
      </c>
      <c r="I100" s="32"/>
      <c r="J100" s="32">
        <v>21</v>
      </c>
      <c r="K100" s="32">
        <f t="shared" si="34"/>
        <v>0</v>
      </c>
      <c r="L100" s="32">
        <f t="shared" si="35"/>
        <v>-42</v>
      </c>
      <c r="M100" s="4"/>
    </row>
    <row r="101" spans="1:13" hidden="1" x14ac:dyDescent="0.25">
      <c r="A101" s="32">
        <v>3</v>
      </c>
      <c r="B101" s="32" t="s">
        <v>29</v>
      </c>
      <c r="C101" s="32" t="s">
        <v>30</v>
      </c>
      <c r="D101" s="32"/>
      <c r="E101" s="32">
        <v>80</v>
      </c>
      <c r="F101" s="32">
        <v>2</v>
      </c>
      <c r="G101" s="32">
        <v>21</v>
      </c>
      <c r="H101" s="32">
        <f t="shared" si="33"/>
        <v>42</v>
      </c>
      <c r="I101" s="32"/>
      <c r="J101" s="32">
        <v>21</v>
      </c>
      <c r="K101" s="32">
        <f t="shared" si="34"/>
        <v>0</v>
      </c>
      <c r="L101" s="32">
        <f t="shared" si="35"/>
        <v>-42</v>
      </c>
      <c r="M101" s="4"/>
    </row>
    <row r="102" spans="1:13" hidden="1" x14ac:dyDescent="0.25">
      <c r="A102" s="32">
        <v>4</v>
      </c>
      <c r="B102" s="32" t="s">
        <v>32</v>
      </c>
      <c r="C102" s="32" t="s">
        <v>33</v>
      </c>
      <c r="D102" s="32"/>
      <c r="E102" s="32">
        <v>88</v>
      </c>
      <c r="F102" s="32">
        <v>2</v>
      </c>
      <c r="G102" s="32">
        <v>24</v>
      </c>
      <c r="H102" s="32">
        <f t="shared" si="33"/>
        <v>48</v>
      </c>
      <c r="I102" s="32"/>
      <c r="J102" s="32">
        <v>24</v>
      </c>
      <c r="K102" s="32">
        <f t="shared" si="34"/>
        <v>0</v>
      </c>
      <c r="L102" s="32">
        <f t="shared" si="35"/>
        <v>-48</v>
      </c>
      <c r="M102" s="4"/>
    </row>
    <row r="103" spans="1:13" hidden="1" x14ac:dyDescent="0.25">
      <c r="A103" s="32">
        <v>5</v>
      </c>
      <c r="B103" s="32" t="s">
        <v>32</v>
      </c>
      <c r="C103" s="32" t="s">
        <v>33</v>
      </c>
      <c r="D103" s="32"/>
      <c r="E103" s="32">
        <v>88</v>
      </c>
      <c r="F103" s="32">
        <v>2</v>
      </c>
      <c r="G103" s="32">
        <v>12</v>
      </c>
      <c r="H103" s="32">
        <f t="shared" si="33"/>
        <v>24</v>
      </c>
      <c r="I103" s="32"/>
      <c r="J103" s="32">
        <v>12</v>
      </c>
      <c r="K103" s="32">
        <f t="shared" si="34"/>
        <v>0</v>
      </c>
      <c r="L103" s="32">
        <f t="shared" si="35"/>
        <v>-24</v>
      </c>
      <c r="M103" s="4"/>
    </row>
    <row r="104" spans="1:13" hidden="1" x14ac:dyDescent="0.25">
      <c r="A104" s="32">
        <v>6</v>
      </c>
      <c r="B104" s="32" t="s">
        <v>32</v>
      </c>
      <c r="C104" s="32" t="s">
        <v>33</v>
      </c>
      <c r="D104" s="32"/>
      <c r="E104" s="32">
        <v>88</v>
      </c>
      <c r="F104" s="32">
        <v>2</v>
      </c>
      <c r="G104" s="32">
        <v>12</v>
      </c>
      <c r="H104" s="32">
        <f t="shared" si="33"/>
        <v>24</v>
      </c>
      <c r="I104" s="32"/>
      <c r="J104" s="32">
        <v>12</v>
      </c>
      <c r="K104" s="32">
        <f t="shared" si="34"/>
        <v>0</v>
      </c>
      <c r="L104" s="32">
        <f t="shared" si="35"/>
        <v>-24</v>
      </c>
      <c r="M104" s="4"/>
    </row>
    <row r="105" spans="1:13" hidden="1" x14ac:dyDescent="0.2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4"/>
    </row>
    <row r="106" spans="1:13" hidden="1" x14ac:dyDescent="0.2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4"/>
    </row>
    <row r="107" spans="1:13" hidden="1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4"/>
    </row>
    <row r="108" spans="1:13" hidden="1" x14ac:dyDescent="0.2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4"/>
    </row>
    <row r="109" spans="1:13" hidden="1" x14ac:dyDescent="0.2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4"/>
    </row>
    <row r="110" spans="1:13" hidden="1" x14ac:dyDescent="0.25">
      <c r="A110" s="30"/>
      <c r="B110" s="30" t="s">
        <v>18</v>
      </c>
      <c r="C110" s="30"/>
      <c r="D110" s="30"/>
      <c r="E110" s="30"/>
      <c r="F110" s="30"/>
      <c r="G110" s="30"/>
      <c r="H110" s="30">
        <f>SUM(H99:H109)</f>
        <v>222</v>
      </c>
      <c r="I110" s="30"/>
      <c r="J110" s="30"/>
      <c r="K110" s="30">
        <f>SUM(K99:K109)</f>
        <v>0</v>
      </c>
      <c r="L110" s="30">
        <f>SUM(L99:L109)</f>
        <v>-222</v>
      </c>
      <c r="M110" s="4"/>
    </row>
    <row r="111" spans="1:13" hidden="1" x14ac:dyDescent="0.25"/>
  </sheetData>
  <mergeCells count="22">
    <mergeCell ref="A11:M11"/>
    <mergeCell ref="A2:A4"/>
    <mergeCell ref="B2:B4"/>
    <mergeCell ref="C2:C4"/>
    <mergeCell ref="D2:D4"/>
    <mergeCell ref="E2:E3"/>
    <mergeCell ref="F2:H2"/>
    <mergeCell ref="I2:K2"/>
    <mergeCell ref="L2:L3"/>
    <mergeCell ref="M2:M4"/>
    <mergeCell ref="A5:M5"/>
    <mergeCell ref="A6:M6"/>
    <mergeCell ref="A97:M97"/>
    <mergeCell ref="A98:M98"/>
    <mergeCell ref="A29:M29"/>
    <mergeCell ref="A38:M38"/>
    <mergeCell ref="A20:M20"/>
    <mergeCell ref="A47:M47"/>
    <mergeCell ref="A58:M58"/>
    <mergeCell ref="A68:M68"/>
    <mergeCell ref="A77:M77"/>
    <mergeCell ref="A92:M9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7F51-6E24-4512-8319-5261DC3573C4}">
  <dimension ref="A1:M108"/>
  <sheetViews>
    <sheetView tabSelected="1" zoomScaleNormal="100" workbookViewId="0">
      <pane ySplit="4" topLeftCell="A5" activePane="bottomLeft" state="frozen"/>
      <selection pane="bottomLeft" activeCell="F19" sqref="F19"/>
    </sheetView>
  </sheetViews>
  <sheetFormatPr defaultRowHeight="15" x14ac:dyDescent="0.25"/>
  <cols>
    <col min="1" max="1" width="9.140625" style="6"/>
    <col min="2" max="2" width="11.5703125" style="6" bestFit="1" customWidth="1"/>
    <col min="3" max="3" width="11.7109375" style="6" bestFit="1" customWidth="1"/>
    <col min="4" max="4" width="9.140625" style="6"/>
    <col min="5" max="5" width="10.42578125" style="6" bestFit="1" customWidth="1"/>
    <col min="6" max="12" width="9.140625" style="6"/>
    <col min="13" max="13" width="32.42578125" style="6" customWidth="1"/>
    <col min="14" max="16384" width="9.140625" style="6"/>
  </cols>
  <sheetData>
    <row r="1" spans="1:13" x14ac:dyDescent="0.25">
      <c r="M1" s="12">
        <v>46287</v>
      </c>
    </row>
    <row r="2" spans="1:13" x14ac:dyDescent="0.25">
      <c r="A2" s="40" t="s">
        <v>0</v>
      </c>
      <c r="B2" s="41" t="s">
        <v>1</v>
      </c>
      <c r="C2" s="42" t="s">
        <v>2</v>
      </c>
      <c r="D2" s="42" t="s">
        <v>3</v>
      </c>
      <c r="E2" s="41" t="s">
        <v>4</v>
      </c>
      <c r="F2" s="39" t="s">
        <v>19</v>
      </c>
      <c r="G2" s="39"/>
      <c r="H2" s="39"/>
      <c r="I2" s="39" t="s">
        <v>20</v>
      </c>
      <c r="J2" s="39"/>
      <c r="K2" s="39"/>
      <c r="L2" s="40" t="s">
        <v>10</v>
      </c>
      <c r="M2" s="40" t="s">
        <v>11</v>
      </c>
    </row>
    <row r="3" spans="1:13" ht="45" x14ac:dyDescent="0.25">
      <c r="A3" s="40"/>
      <c r="B3" s="41"/>
      <c r="C3" s="42"/>
      <c r="D3" s="42"/>
      <c r="E3" s="41"/>
      <c r="F3" s="35" t="s">
        <v>5</v>
      </c>
      <c r="G3" s="35" t="s">
        <v>6</v>
      </c>
      <c r="H3" s="35" t="s">
        <v>7</v>
      </c>
      <c r="I3" s="35" t="s">
        <v>8</v>
      </c>
      <c r="J3" s="35" t="s">
        <v>6</v>
      </c>
      <c r="K3" s="35" t="s">
        <v>9</v>
      </c>
      <c r="L3" s="40"/>
      <c r="M3" s="40"/>
    </row>
    <row r="4" spans="1:13" x14ac:dyDescent="0.25">
      <c r="A4" s="40"/>
      <c r="B4" s="41"/>
      <c r="C4" s="42"/>
      <c r="D4" s="42"/>
      <c r="E4" s="36" t="s">
        <v>12</v>
      </c>
      <c r="F4" s="35" t="s">
        <v>13</v>
      </c>
      <c r="G4" s="3" t="s">
        <v>14</v>
      </c>
      <c r="H4" s="35" t="s">
        <v>14</v>
      </c>
      <c r="I4" s="35" t="s">
        <v>13</v>
      </c>
      <c r="J4" s="3" t="s">
        <v>14</v>
      </c>
      <c r="K4" s="35" t="s">
        <v>14</v>
      </c>
      <c r="L4" s="35" t="s">
        <v>14</v>
      </c>
      <c r="M4" s="40"/>
    </row>
    <row r="5" spans="1:13" x14ac:dyDescent="0.25">
      <c r="A5" s="43" t="s">
        <v>15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</row>
    <row r="6" spans="1:13" x14ac:dyDescent="0.25">
      <c r="A6" s="46" t="s">
        <v>39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8"/>
    </row>
    <row r="7" spans="1:13" x14ac:dyDescent="0.25">
      <c r="A7" s="36">
        <v>1</v>
      </c>
      <c r="B7" s="36" t="s">
        <v>16</v>
      </c>
      <c r="C7" s="36" t="s">
        <v>17</v>
      </c>
      <c r="D7" s="10">
        <v>537</v>
      </c>
      <c r="E7" s="36">
        <v>6</v>
      </c>
      <c r="F7" s="36"/>
      <c r="G7" s="36">
        <v>12</v>
      </c>
      <c r="H7" s="36">
        <f>+G7*F7</f>
        <v>0</v>
      </c>
      <c r="I7" s="36">
        <v>1</v>
      </c>
      <c r="J7" s="36">
        <v>12</v>
      </c>
      <c r="K7" s="36">
        <f>+J7*I7</f>
        <v>12</v>
      </c>
      <c r="L7" s="36">
        <f>+K7-H7</f>
        <v>12</v>
      </c>
      <c r="M7" s="4" t="s">
        <v>46</v>
      </c>
    </row>
    <row r="8" spans="1:13" x14ac:dyDescent="0.25">
      <c r="A8" s="36">
        <v>2</v>
      </c>
      <c r="B8" s="36" t="s">
        <v>16</v>
      </c>
      <c r="C8" s="36" t="s">
        <v>17</v>
      </c>
      <c r="D8" s="17">
        <v>513</v>
      </c>
      <c r="E8" s="36">
        <v>6</v>
      </c>
      <c r="F8" s="36"/>
      <c r="G8" s="36">
        <v>12</v>
      </c>
      <c r="H8" s="36">
        <f>+G8*F8</f>
        <v>0</v>
      </c>
      <c r="I8" s="36">
        <v>5</v>
      </c>
      <c r="J8" s="36">
        <v>12</v>
      </c>
      <c r="K8" s="36">
        <f>+J8*I8</f>
        <v>60</v>
      </c>
      <c r="L8" s="36">
        <f>+K8-H8</f>
        <v>60</v>
      </c>
      <c r="M8" s="4" t="s">
        <v>46</v>
      </c>
    </row>
    <row r="9" spans="1:13" x14ac:dyDescent="0.25">
      <c r="A9" s="36">
        <v>3</v>
      </c>
      <c r="B9" s="36" t="s">
        <v>16</v>
      </c>
      <c r="C9" s="36" t="s">
        <v>17</v>
      </c>
      <c r="D9" s="49">
        <v>532</v>
      </c>
      <c r="E9" s="36">
        <v>6</v>
      </c>
      <c r="F9" s="36"/>
      <c r="G9" s="36">
        <v>12</v>
      </c>
      <c r="H9" s="36">
        <f>+G9*F9</f>
        <v>0</v>
      </c>
      <c r="I9" s="36">
        <v>6</v>
      </c>
      <c r="J9" s="36">
        <v>12</v>
      </c>
      <c r="K9" s="36">
        <f>+J9*I9</f>
        <v>72</v>
      </c>
      <c r="L9" s="36">
        <f>+K9-H9</f>
        <v>72</v>
      </c>
      <c r="M9" s="4" t="s">
        <v>46</v>
      </c>
    </row>
    <row r="10" spans="1:13" x14ac:dyDescent="0.25">
      <c r="A10" s="36">
        <v>4</v>
      </c>
      <c r="B10" s="36" t="s">
        <v>16</v>
      </c>
      <c r="C10" s="36" t="s">
        <v>17</v>
      </c>
      <c r="D10" s="50">
        <v>498</v>
      </c>
      <c r="E10" s="36">
        <v>6</v>
      </c>
      <c r="F10" s="36"/>
      <c r="G10" s="36">
        <v>12</v>
      </c>
      <c r="H10" s="36">
        <f>+G10*F10</f>
        <v>0</v>
      </c>
      <c r="I10" s="36">
        <v>6</v>
      </c>
      <c r="J10" s="36">
        <v>12</v>
      </c>
      <c r="K10" s="36">
        <f>+J10*I10</f>
        <v>72</v>
      </c>
      <c r="L10" s="36">
        <f>+K10-H10</f>
        <v>72</v>
      </c>
      <c r="M10" s="4" t="s">
        <v>46</v>
      </c>
    </row>
    <row r="11" spans="1:13" hidden="1" x14ac:dyDescent="0.25">
      <c r="A11" s="36">
        <v>5</v>
      </c>
      <c r="B11" s="36" t="s">
        <v>16</v>
      </c>
      <c r="C11" s="36" t="s">
        <v>17</v>
      </c>
      <c r="D11" s="36"/>
      <c r="E11" s="36">
        <v>6</v>
      </c>
      <c r="F11" s="36"/>
      <c r="G11" s="36">
        <v>12</v>
      </c>
      <c r="H11" s="36">
        <f>+G11*F11</f>
        <v>0</v>
      </c>
      <c r="I11" s="36"/>
      <c r="J11" s="36">
        <v>12</v>
      </c>
      <c r="K11" s="36">
        <f>+J11*I11</f>
        <v>0</v>
      </c>
      <c r="L11" s="36">
        <f>+K11-H11</f>
        <v>0</v>
      </c>
      <c r="M11" s="4"/>
    </row>
    <row r="12" spans="1:13" hidden="1" x14ac:dyDescent="0.25">
      <c r="A12" s="36">
        <v>6</v>
      </c>
      <c r="B12" s="36" t="s">
        <v>16</v>
      </c>
      <c r="C12" s="36" t="s">
        <v>17</v>
      </c>
      <c r="D12" s="36"/>
      <c r="E12" s="36">
        <v>6</v>
      </c>
      <c r="F12" s="36"/>
      <c r="G12" s="36">
        <v>12</v>
      </c>
      <c r="H12" s="36">
        <f>+G12*F12</f>
        <v>0</v>
      </c>
      <c r="I12" s="36"/>
      <c r="J12" s="36">
        <v>12</v>
      </c>
      <c r="K12" s="36">
        <f>+J12*I12</f>
        <v>0</v>
      </c>
      <c r="L12" s="36">
        <f>+K12-H12</f>
        <v>0</v>
      </c>
      <c r="M12" s="4"/>
    </row>
    <row r="13" spans="1:13" hidden="1" x14ac:dyDescent="0.25">
      <c r="A13" s="36">
        <v>7</v>
      </c>
      <c r="B13" s="36" t="s">
        <v>16</v>
      </c>
      <c r="C13" s="36" t="s">
        <v>17</v>
      </c>
      <c r="D13" s="36"/>
      <c r="E13" s="36">
        <v>6</v>
      </c>
      <c r="F13" s="36"/>
      <c r="G13" s="36">
        <v>12</v>
      </c>
      <c r="H13" s="36">
        <f>+G13*F13</f>
        <v>0</v>
      </c>
      <c r="I13" s="36"/>
      <c r="J13" s="36">
        <v>12</v>
      </c>
      <c r="K13" s="36">
        <f>+J13*I13</f>
        <v>0</v>
      </c>
      <c r="L13" s="36">
        <f>+K13-H13</f>
        <v>0</v>
      </c>
      <c r="M13" s="4"/>
    </row>
    <row r="14" spans="1:13" hidden="1" x14ac:dyDescent="0.25">
      <c r="A14" s="36">
        <v>8</v>
      </c>
      <c r="B14" s="36" t="s">
        <v>16</v>
      </c>
      <c r="C14" s="36" t="s">
        <v>17</v>
      </c>
      <c r="D14" s="36"/>
      <c r="E14" s="36">
        <v>6</v>
      </c>
      <c r="F14" s="36"/>
      <c r="G14" s="36">
        <v>12</v>
      </c>
      <c r="H14" s="36">
        <f>+G14*F14</f>
        <v>0</v>
      </c>
      <c r="I14" s="36"/>
      <c r="J14" s="36">
        <v>12</v>
      </c>
      <c r="K14" s="36">
        <f>+J14*I14</f>
        <v>0</v>
      </c>
      <c r="L14" s="36">
        <f>+K14-H14</f>
        <v>0</v>
      </c>
      <c r="M14" s="4"/>
    </row>
    <row r="15" spans="1:13" hidden="1" x14ac:dyDescent="0.25">
      <c r="A15" s="36">
        <v>9</v>
      </c>
      <c r="B15" s="36" t="s">
        <v>16</v>
      </c>
      <c r="C15" s="36" t="s">
        <v>17</v>
      </c>
      <c r="D15" s="36"/>
      <c r="E15" s="36">
        <v>6</v>
      </c>
      <c r="F15" s="36"/>
      <c r="G15" s="36">
        <v>12</v>
      </c>
      <c r="H15" s="36">
        <f>+G15*F15</f>
        <v>0</v>
      </c>
      <c r="I15" s="36"/>
      <c r="J15" s="36">
        <v>12</v>
      </c>
      <c r="K15" s="36">
        <f>+J15*I15</f>
        <v>0</v>
      </c>
      <c r="L15" s="36">
        <f>+K15-H15</f>
        <v>0</v>
      </c>
      <c r="M15" s="4"/>
    </row>
    <row r="16" spans="1:13" x14ac:dyDescent="0.25">
      <c r="A16" s="34"/>
      <c r="B16" s="34" t="s">
        <v>18</v>
      </c>
      <c r="C16" s="34"/>
      <c r="D16" s="34"/>
      <c r="E16" s="34"/>
      <c r="F16" s="34"/>
      <c r="G16" s="34"/>
      <c r="H16" s="34">
        <f>SUM(H7:H15)</f>
        <v>0</v>
      </c>
      <c r="I16" s="34"/>
      <c r="J16" s="34"/>
      <c r="K16" s="34">
        <f>SUM(K7:K15)</f>
        <v>216</v>
      </c>
      <c r="L16" s="34">
        <f>SUM(L7:L15)</f>
        <v>216</v>
      </c>
      <c r="M16" s="4"/>
    </row>
    <row r="17" spans="1:13" x14ac:dyDescent="0.25">
      <c r="A17" s="46" t="s">
        <v>43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8"/>
    </row>
    <row r="18" spans="1:13" x14ac:dyDescent="0.25">
      <c r="A18" s="36">
        <v>1</v>
      </c>
      <c r="B18" s="36" t="s">
        <v>16</v>
      </c>
      <c r="C18" s="36" t="s">
        <v>17</v>
      </c>
      <c r="D18" s="10">
        <v>537</v>
      </c>
      <c r="E18" s="36">
        <v>38</v>
      </c>
      <c r="F18" s="36">
        <v>1</v>
      </c>
      <c r="G18" s="36">
        <v>12</v>
      </c>
      <c r="H18" s="36">
        <f>+G18*F18</f>
        <v>12</v>
      </c>
      <c r="I18" s="36">
        <v>1</v>
      </c>
      <c r="J18" s="36">
        <v>12</v>
      </c>
      <c r="K18" s="36">
        <f>+J18*I18</f>
        <v>12</v>
      </c>
      <c r="L18" s="36">
        <f>+K18-H18</f>
        <v>0</v>
      </c>
      <c r="M18" s="4" t="s">
        <v>46</v>
      </c>
    </row>
    <row r="19" spans="1:13" x14ac:dyDescent="0.25">
      <c r="A19" s="36">
        <v>2</v>
      </c>
      <c r="B19" s="36" t="s">
        <v>16</v>
      </c>
      <c r="C19" s="36" t="s">
        <v>17</v>
      </c>
      <c r="D19" s="17">
        <v>513</v>
      </c>
      <c r="E19" s="36">
        <v>38</v>
      </c>
      <c r="F19" s="36">
        <v>1</v>
      </c>
      <c r="G19" s="36">
        <v>12</v>
      </c>
      <c r="H19" s="36">
        <f>+G19*F19</f>
        <v>12</v>
      </c>
      <c r="I19" s="36">
        <v>1</v>
      </c>
      <c r="J19" s="36">
        <v>12</v>
      </c>
      <c r="K19" s="36">
        <f>+J19*I19</f>
        <v>12</v>
      </c>
      <c r="L19" s="36">
        <f>+K19-H19</f>
        <v>0</v>
      </c>
      <c r="M19" s="4" t="s">
        <v>46</v>
      </c>
    </row>
    <row r="20" spans="1:13" x14ac:dyDescent="0.25">
      <c r="A20" s="36">
        <v>3</v>
      </c>
      <c r="B20" s="36" t="s">
        <v>16</v>
      </c>
      <c r="C20" s="36" t="s">
        <v>17</v>
      </c>
      <c r="D20" s="49">
        <v>532</v>
      </c>
      <c r="E20" s="36">
        <v>38</v>
      </c>
      <c r="F20" s="36">
        <v>1</v>
      </c>
      <c r="G20" s="36">
        <v>12</v>
      </c>
      <c r="H20" s="36">
        <f>+G20*F20</f>
        <v>12</v>
      </c>
      <c r="I20" s="36">
        <v>1</v>
      </c>
      <c r="J20" s="36">
        <v>12</v>
      </c>
      <c r="K20" s="36">
        <f>+J20*I20</f>
        <v>12</v>
      </c>
      <c r="L20" s="36">
        <f>+K20-H20</f>
        <v>0</v>
      </c>
      <c r="M20" s="4" t="s">
        <v>46</v>
      </c>
    </row>
    <row r="21" spans="1:13" x14ac:dyDescent="0.25">
      <c r="A21" s="36">
        <v>4</v>
      </c>
      <c r="B21" s="36" t="s">
        <v>16</v>
      </c>
      <c r="C21" s="36" t="s">
        <v>17</v>
      </c>
      <c r="D21" s="50">
        <v>498</v>
      </c>
      <c r="E21" s="36">
        <v>38</v>
      </c>
      <c r="F21" s="36">
        <v>1</v>
      </c>
      <c r="G21" s="36">
        <v>12</v>
      </c>
      <c r="H21" s="36">
        <f t="shared" ref="H21:H24" si="0">+G21*F21</f>
        <v>12</v>
      </c>
      <c r="I21" s="36">
        <v>1</v>
      </c>
      <c r="J21" s="36">
        <v>12</v>
      </c>
      <c r="K21" s="36">
        <f t="shared" ref="K21:K24" si="1">+J21*I21</f>
        <v>12</v>
      </c>
      <c r="L21" s="36">
        <f t="shared" ref="L21:L24" si="2">+K21-H21</f>
        <v>0</v>
      </c>
      <c r="M21" s="4" t="s">
        <v>46</v>
      </c>
    </row>
    <row r="22" spans="1:13" x14ac:dyDescent="0.25">
      <c r="A22" s="36">
        <v>5</v>
      </c>
      <c r="B22" s="36" t="s">
        <v>16</v>
      </c>
      <c r="C22" s="36" t="s">
        <v>17</v>
      </c>
      <c r="D22" s="36">
        <v>445</v>
      </c>
      <c r="E22" s="36">
        <v>38</v>
      </c>
      <c r="F22" s="36">
        <v>4</v>
      </c>
      <c r="G22" s="36">
        <v>12</v>
      </c>
      <c r="H22" s="36">
        <f t="shared" si="0"/>
        <v>48</v>
      </c>
      <c r="I22" s="36">
        <v>3</v>
      </c>
      <c r="J22" s="36">
        <v>12</v>
      </c>
      <c r="K22" s="36">
        <f t="shared" si="1"/>
        <v>36</v>
      </c>
      <c r="L22" s="36">
        <f t="shared" si="2"/>
        <v>-12</v>
      </c>
      <c r="M22" s="4"/>
    </row>
    <row r="23" spans="1:13" x14ac:dyDescent="0.25">
      <c r="A23" s="36">
        <v>6</v>
      </c>
      <c r="B23" s="36" t="s">
        <v>16</v>
      </c>
      <c r="C23" s="36" t="s">
        <v>17</v>
      </c>
      <c r="D23" s="36">
        <v>525</v>
      </c>
      <c r="E23" s="36">
        <v>38</v>
      </c>
      <c r="F23" s="36">
        <v>4</v>
      </c>
      <c r="G23" s="36">
        <v>12</v>
      </c>
      <c r="H23" s="36">
        <f t="shared" si="0"/>
        <v>48</v>
      </c>
      <c r="I23" s="36">
        <v>3</v>
      </c>
      <c r="J23" s="36">
        <v>12</v>
      </c>
      <c r="K23" s="36">
        <f t="shared" si="1"/>
        <v>36</v>
      </c>
      <c r="L23" s="36">
        <f t="shared" si="2"/>
        <v>-12</v>
      </c>
      <c r="M23" s="4"/>
    </row>
    <row r="24" spans="1:13" x14ac:dyDescent="0.25">
      <c r="A24" s="36">
        <v>7</v>
      </c>
      <c r="B24" s="36" t="s">
        <v>16</v>
      </c>
      <c r="C24" s="36" t="s">
        <v>17</v>
      </c>
      <c r="D24" s="36">
        <v>506</v>
      </c>
      <c r="E24" s="36">
        <v>38</v>
      </c>
      <c r="F24" s="36">
        <v>4</v>
      </c>
      <c r="G24" s="36">
        <v>12</v>
      </c>
      <c r="H24" s="36">
        <f t="shared" si="0"/>
        <v>48</v>
      </c>
      <c r="I24" s="36">
        <v>3</v>
      </c>
      <c r="J24" s="36">
        <v>12</v>
      </c>
      <c r="K24" s="36">
        <f t="shared" si="1"/>
        <v>36</v>
      </c>
      <c r="L24" s="36">
        <f t="shared" si="2"/>
        <v>-12</v>
      </c>
      <c r="M24" s="4"/>
    </row>
    <row r="25" spans="1:13" x14ac:dyDescent="0.25">
      <c r="A25" s="34"/>
      <c r="B25" s="34" t="s">
        <v>18</v>
      </c>
      <c r="C25" s="34"/>
      <c r="D25" s="34"/>
      <c r="E25" s="34"/>
      <c r="F25" s="34"/>
      <c r="G25" s="34"/>
      <c r="H25" s="34">
        <f>SUM(H18:H24)</f>
        <v>192</v>
      </c>
      <c r="I25" s="34"/>
      <c r="J25" s="34"/>
      <c r="K25" s="34">
        <f t="shared" ref="K25:L25" si="3">SUM(K18:K24)</f>
        <v>156</v>
      </c>
      <c r="L25" s="34">
        <f t="shared" si="3"/>
        <v>-36</v>
      </c>
      <c r="M25" s="4"/>
    </row>
    <row r="26" spans="1:13" x14ac:dyDescent="0.25">
      <c r="A26" s="38" t="s">
        <v>36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7" spans="1:13" x14ac:dyDescent="0.25">
      <c r="A27" s="36">
        <v>1</v>
      </c>
      <c r="B27" s="36" t="s">
        <v>16</v>
      </c>
      <c r="C27" s="36" t="s">
        <v>17</v>
      </c>
      <c r="D27" s="10">
        <v>537</v>
      </c>
      <c r="E27" s="36">
        <v>6</v>
      </c>
      <c r="F27" s="36">
        <v>3</v>
      </c>
      <c r="G27" s="36">
        <v>12</v>
      </c>
      <c r="H27" s="36">
        <f t="shared" ref="H27:H30" si="4">+G27*F27</f>
        <v>36</v>
      </c>
      <c r="I27" s="37">
        <v>3</v>
      </c>
      <c r="J27" s="36">
        <v>12</v>
      </c>
      <c r="K27" s="36">
        <f t="shared" ref="K27:K30" si="5">+J27*I27</f>
        <v>36</v>
      </c>
      <c r="L27" s="36">
        <f t="shared" ref="L27:L30" si="6">+K27-H27</f>
        <v>0</v>
      </c>
      <c r="M27" s="4" t="s">
        <v>46</v>
      </c>
    </row>
    <row r="28" spans="1:13" x14ac:dyDescent="0.25">
      <c r="A28" s="36">
        <v>2</v>
      </c>
      <c r="B28" s="36" t="s">
        <v>16</v>
      </c>
      <c r="C28" s="36" t="s">
        <v>17</v>
      </c>
      <c r="D28" s="17">
        <v>513</v>
      </c>
      <c r="E28" s="36">
        <v>6</v>
      </c>
      <c r="F28" s="36">
        <v>3</v>
      </c>
      <c r="G28" s="36">
        <v>12</v>
      </c>
      <c r="H28" s="36">
        <f t="shared" si="4"/>
        <v>36</v>
      </c>
      <c r="I28" s="36">
        <v>3</v>
      </c>
      <c r="J28" s="36">
        <v>12</v>
      </c>
      <c r="K28" s="36">
        <f t="shared" si="5"/>
        <v>36</v>
      </c>
      <c r="L28" s="36">
        <f t="shared" si="6"/>
        <v>0</v>
      </c>
      <c r="M28" s="4" t="s">
        <v>46</v>
      </c>
    </row>
    <row r="29" spans="1:13" x14ac:dyDescent="0.25">
      <c r="A29" s="36">
        <v>3</v>
      </c>
      <c r="B29" s="36" t="s">
        <v>16</v>
      </c>
      <c r="C29" s="36" t="s">
        <v>17</v>
      </c>
      <c r="D29" s="49">
        <v>532</v>
      </c>
      <c r="E29" s="36">
        <v>6</v>
      </c>
      <c r="F29" s="36">
        <v>3</v>
      </c>
      <c r="G29" s="36">
        <v>12</v>
      </c>
      <c r="H29" s="36">
        <f t="shared" si="4"/>
        <v>36</v>
      </c>
      <c r="I29" s="36">
        <v>3</v>
      </c>
      <c r="J29" s="36">
        <v>12</v>
      </c>
      <c r="K29" s="36">
        <f t="shared" si="5"/>
        <v>36</v>
      </c>
      <c r="L29" s="36">
        <f t="shared" si="6"/>
        <v>0</v>
      </c>
      <c r="M29" s="4" t="s">
        <v>46</v>
      </c>
    </row>
    <row r="30" spans="1:13" x14ac:dyDescent="0.25">
      <c r="A30" s="36">
        <v>4</v>
      </c>
      <c r="B30" s="36" t="s">
        <v>16</v>
      </c>
      <c r="C30" s="36" t="s">
        <v>17</v>
      </c>
      <c r="D30" s="50">
        <v>498</v>
      </c>
      <c r="E30" s="36">
        <v>6</v>
      </c>
      <c r="F30" s="36">
        <v>3</v>
      </c>
      <c r="G30" s="36">
        <v>12</v>
      </c>
      <c r="H30" s="36">
        <f t="shared" si="4"/>
        <v>36</v>
      </c>
      <c r="I30" s="36">
        <v>3</v>
      </c>
      <c r="J30" s="36">
        <v>12</v>
      </c>
      <c r="K30" s="36">
        <f t="shared" si="5"/>
        <v>36</v>
      </c>
      <c r="L30" s="36">
        <f t="shared" si="6"/>
        <v>0</v>
      </c>
      <c r="M30" s="4" t="s">
        <v>46</v>
      </c>
    </row>
    <row r="31" spans="1:13" hidden="1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4" t="s">
        <v>46</v>
      </c>
    </row>
    <row r="32" spans="1:13" hidden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4" t="s">
        <v>46</v>
      </c>
    </row>
    <row r="33" spans="1:13" hidden="1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4" t="s">
        <v>46</v>
      </c>
    </row>
    <row r="34" spans="1:13" x14ac:dyDescent="0.25">
      <c r="A34" s="34"/>
      <c r="B34" s="34" t="s">
        <v>18</v>
      </c>
      <c r="C34" s="34"/>
      <c r="D34" s="34"/>
      <c r="E34" s="34"/>
      <c r="F34" s="34"/>
      <c r="G34" s="34"/>
      <c r="H34" s="34">
        <f>SUM(H27:H33)</f>
        <v>144</v>
      </c>
      <c r="I34" s="34"/>
      <c r="J34" s="34"/>
      <c r="K34" s="34">
        <f>SUM(K27:K33)</f>
        <v>144</v>
      </c>
      <c r="L34" s="34">
        <f>SUM(L27:L33)</f>
        <v>0</v>
      </c>
      <c r="M34" s="4" t="s">
        <v>46</v>
      </c>
    </row>
    <row r="35" spans="1:13" x14ac:dyDescent="0.25">
      <c r="A35" s="38" t="s">
        <v>41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</row>
    <row r="36" spans="1:13" x14ac:dyDescent="0.25">
      <c r="A36" s="36">
        <v>1</v>
      </c>
      <c r="B36" s="36" t="s">
        <v>16</v>
      </c>
      <c r="C36" s="36" t="s">
        <v>17</v>
      </c>
      <c r="D36" s="10">
        <v>537</v>
      </c>
      <c r="E36" s="36">
        <v>1</v>
      </c>
      <c r="F36" s="36">
        <v>10</v>
      </c>
      <c r="G36" s="36">
        <v>12</v>
      </c>
      <c r="H36" s="36">
        <f t="shared" ref="H36" si="7">+G36*F36</f>
        <v>120</v>
      </c>
      <c r="I36" s="37">
        <v>7</v>
      </c>
      <c r="J36" s="36">
        <v>12</v>
      </c>
      <c r="K36" s="36">
        <f t="shared" ref="K36" si="8">+J36*I36</f>
        <v>84</v>
      </c>
      <c r="L36" s="36">
        <f t="shared" ref="L36" si="9">+K36-H36</f>
        <v>-36</v>
      </c>
      <c r="M36" s="4" t="s">
        <v>46</v>
      </c>
    </row>
    <row r="37" spans="1:13" hidden="1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4"/>
    </row>
    <row r="38" spans="1:13" hidden="1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4"/>
    </row>
    <row r="39" spans="1:13" hidden="1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4"/>
    </row>
    <row r="40" spans="1:13" hidden="1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4"/>
    </row>
    <row r="41" spans="1:13" hidden="1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4"/>
    </row>
    <row r="42" spans="1:13" hidden="1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4"/>
    </row>
    <row r="43" spans="1:13" x14ac:dyDescent="0.25">
      <c r="A43" s="34"/>
      <c r="B43" s="34" t="s">
        <v>18</v>
      </c>
      <c r="C43" s="34"/>
      <c r="D43" s="34"/>
      <c r="E43" s="34"/>
      <c r="F43" s="34"/>
      <c r="G43" s="34"/>
      <c r="H43" s="34">
        <f>SUM(H36:H42)</f>
        <v>120</v>
      </c>
      <c r="I43" s="34"/>
      <c r="J43" s="34"/>
      <c r="K43" s="34">
        <f>SUM(K36:K42)</f>
        <v>84</v>
      </c>
      <c r="L43" s="34">
        <f>SUM(L36:L42)</f>
        <v>-36</v>
      </c>
      <c r="M43" s="4"/>
    </row>
    <row r="44" spans="1:13" hidden="1" x14ac:dyDescent="0.25">
      <c r="A44" s="38" t="s">
        <v>27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</row>
    <row r="45" spans="1:13" hidden="1" x14ac:dyDescent="0.25">
      <c r="A45" s="36">
        <v>1</v>
      </c>
      <c r="B45" s="36" t="s">
        <v>16</v>
      </c>
      <c r="C45" s="36" t="s">
        <v>17</v>
      </c>
      <c r="D45" s="36"/>
      <c r="E45" s="36">
        <v>80</v>
      </c>
      <c r="F45" s="36">
        <v>2</v>
      </c>
      <c r="G45" s="36">
        <v>12</v>
      </c>
      <c r="H45" s="36">
        <f t="shared" ref="H45:H48" si="10">+G45*F45</f>
        <v>24</v>
      </c>
      <c r="I45" s="37"/>
      <c r="J45" s="36">
        <v>12</v>
      </c>
      <c r="K45" s="36">
        <f t="shared" ref="K45:K48" si="11">+J45*I45</f>
        <v>0</v>
      </c>
      <c r="L45" s="36">
        <f t="shared" ref="L45:L48" si="12">+K45-H45</f>
        <v>-24</v>
      </c>
      <c r="M45" s="4"/>
    </row>
    <row r="46" spans="1:13" hidden="1" x14ac:dyDescent="0.25">
      <c r="A46" s="36">
        <v>2</v>
      </c>
      <c r="B46" s="36" t="s">
        <v>16</v>
      </c>
      <c r="C46" s="36" t="s">
        <v>17</v>
      </c>
      <c r="D46" s="36"/>
      <c r="E46" s="36">
        <v>80</v>
      </c>
      <c r="F46" s="36">
        <v>2</v>
      </c>
      <c r="G46" s="36">
        <v>12</v>
      </c>
      <c r="H46" s="36">
        <f t="shared" si="10"/>
        <v>24</v>
      </c>
      <c r="I46" s="36"/>
      <c r="J46" s="36">
        <v>12</v>
      </c>
      <c r="K46" s="36">
        <f t="shared" si="11"/>
        <v>0</v>
      </c>
      <c r="L46" s="36">
        <f t="shared" si="12"/>
        <v>-24</v>
      </c>
      <c r="M46" s="4"/>
    </row>
    <row r="47" spans="1:13" hidden="1" x14ac:dyDescent="0.25">
      <c r="A47" s="36">
        <v>3</v>
      </c>
      <c r="B47" s="36" t="s">
        <v>16</v>
      </c>
      <c r="C47" s="36" t="s">
        <v>17</v>
      </c>
      <c r="D47" s="36"/>
      <c r="E47" s="36">
        <v>80</v>
      </c>
      <c r="F47" s="36">
        <v>2</v>
      </c>
      <c r="G47" s="36">
        <v>12</v>
      </c>
      <c r="H47" s="36">
        <f t="shared" si="10"/>
        <v>24</v>
      </c>
      <c r="I47" s="36"/>
      <c r="J47" s="36">
        <v>12</v>
      </c>
      <c r="K47" s="36">
        <f t="shared" si="11"/>
        <v>0</v>
      </c>
      <c r="L47" s="36">
        <f t="shared" si="12"/>
        <v>-24</v>
      </c>
      <c r="M47" s="4"/>
    </row>
    <row r="48" spans="1:13" hidden="1" x14ac:dyDescent="0.25">
      <c r="A48" s="36">
        <v>4</v>
      </c>
      <c r="B48" s="36" t="s">
        <v>16</v>
      </c>
      <c r="C48" s="36" t="s">
        <v>17</v>
      </c>
      <c r="D48" s="36"/>
      <c r="E48" s="36">
        <v>80</v>
      </c>
      <c r="F48" s="36">
        <v>2</v>
      </c>
      <c r="G48" s="36">
        <v>12</v>
      </c>
      <c r="H48" s="36">
        <f t="shared" si="10"/>
        <v>24</v>
      </c>
      <c r="I48" s="37"/>
      <c r="J48" s="36">
        <v>12</v>
      </c>
      <c r="K48" s="36">
        <f t="shared" si="11"/>
        <v>0</v>
      </c>
      <c r="L48" s="36">
        <f t="shared" si="12"/>
        <v>-24</v>
      </c>
      <c r="M48" s="4"/>
    </row>
    <row r="49" spans="1:13" hidden="1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4"/>
    </row>
    <row r="50" spans="1:13" hidden="1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4"/>
    </row>
    <row r="51" spans="1:13" hidden="1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4"/>
    </row>
    <row r="52" spans="1:13" hidden="1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4"/>
    </row>
    <row r="53" spans="1:13" hidden="1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4"/>
    </row>
    <row r="54" spans="1:13" hidden="1" x14ac:dyDescent="0.25">
      <c r="A54" s="34"/>
      <c r="B54" s="34" t="s">
        <v>18</v>
      </c>
      <c r="C54" s="34"/>
      <c r="D54" s="34"/>
      <c r="E54" s="34"/>
      <c r="F54" s="34"/>
      <c r="G54" s="34"/>
      <c r="H54" s="34">
        <f>SUM(H45:H53)</f>
        <v>96</v>
      </c>
      <c r="I54" s="34"/>
      <c r="J54" s="34"/>
      <c r="K54" s="34">
        <f>SUM(K45:K53)</f>
        <v>0</v>
      </c>
      <c r="L54" s="34">
        <f>SUM(L45:L53)</f>
        <v>-96</v>
      </c>
      <c r="M54" s="4"/>
    </row>
    <row r="55" spans="1:13" hidden="1" x14ac:dyDescent="0.25">
      <c r="A55" s="38" t="s">
        <v>34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</row>
    <row r="56" spans="1:13" hidden="1" x14ac:dyDescent="0.25">
      <c r="A56" s="36">
        <v>1</v>
      </c>
      <c r="B56" s="36" t="s">
        <v>16</v>
      </c>
      <c r="C56" s="36" t="s">
        <v>17</v>
      </c>
      <c r="D56" s="36"/>
      <c r="E56" s="36">
        <v>80</v>
      </c>
      <c r="F56" s="36">
        <v>2</v>
      </c>
      <c r="G56" s="36">
        <v>12</v>
      </c>
      <c r="H56" s="36">
        <f t="shared" ref="H56:H58" si="13">+G56*F56</f>
        <v>24</v>
      </c>
      <c r="I56" s="37"/>
      <c r="J56" s="36">
        <v>12</v>
      </c>
      <c r="K56" s="36">
        <f t="shared" ref="K56:K58" si="14">+J56*I56</f>
        <v>0</v>
      </c>
      <c r="L56" s="36">
        <f t="shared" ref="L56:L58" si="15">+K56-H56</f>
        <v>-24</v>
      </c>
      <c r="M56" s="4"/>
    </row>
    <row r="57" spans="1:13" hidden="1" x14ac:dyDescent="0.25">
      <c r="A57" s="36">
        <v>2</v>
      </c>
      <c r="B57" s="36" t="s">
        <v>16</v>
      </c>
      <c r="C57" s="36" t="s">
        <v>17</v>
      </c>
      <c r="D57" s="36"/>
      <c r="E57" s="36">
        <v>80</v>
      </c>
      <c r="F57" s="36">
        <v>2</v>
      </c>
      <c r="G57" s="36">
        <v>12</v>
      </c>
      <c r="H57" s="36">
        <f t="shared" si="13"/>
        <v>24</v>
      </c>
      <c r="I57" s="36"/>
      <c r="J57" s="36">
        <v>12</v>
      </c>
      <c r="K57" s="36">
        <f t="shared" si="14"/>
        <v>0</v>
      </c>
      <c r="L57" s="36">
        <f t="shared" si="15"/>
        <v>-24</v>
      </c>
      <c r="M57" s="4"/>
    </row>
    <row r="58" spans="1:13" hidden="1" x14ac:dyDescent="0.25">
      <c r="A58" s="36">
        <v>3</v>
      </c>
      <c r="B58" s="36" t="s">
        <v>16</v>
      </c>
      <c r="C58" s="36" t="s">
        <v>17</v>
      </c>
      <c r="D58" s="36"/>
      <c r="E58" s="36">
        <v>80</v>
      </c>
      <c r="F58" s="36">
        <v>2</v>
      </c>
      <c r="G58" s="36">
        <v>12</v>
      </c>
      <c r="H58" s="36">
        <f t="shared" si="13"/>
        <v>24</v>
      </c>
      <c r="I58" s="36"/>
      <c r="J58" s="36">
        <v>12</v>
      </c>
      <c r="K58" s="36">
        <f t="shared" si="14"/>
        <v>0</v>
      </c>
      <c r="L58" s="36">
        <f t="shared" si="15"/>
        <v>-24</v>
      </c>
      <c r="M58" s="4"/>
    </row>
    <row r="59" spans="1:13" hidden="1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4"/>
    </row>
    <row r="60" spans="1:13" hidden="1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4"/>
    </row>
    <row r="61" spans="1:13" hidden="1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4"/>
    </row>
    <row r="62" spans="1:13" hidden="1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4"/>
    </row>
    <row r="63" spans="1:13" hidden="1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4"/>
    </row>
    <row r="64" spans="1:13" hidden="1" x14ac:dyDescent="0.25">
      <c r="A64" s="34"/>
      <c r="B64" s="34" t="s">
        <v>18</v>
      </c>
      <c r="C64" s="34"/>
      <c r="D64" s="34"/>
      <c r="E64" s="34"/>
      <c r="F64" s="34"/>
      <c r="G64" s="34"/>
      <c r="H64" s="34">
        <f>SUM(H56:H63)</f>
        <v>72</v>
      </c>
      <c r="I64" s="34"/>
      <c r="J64" s="34"/>
      <c r="K64" s="34">
        <f>SUM(K56:K63)</f>
        <v>0</v>
      </c>
      <c r="L64" s="34">
        <f>SUM(L56:L63)</f>
        <v>-72</v>
      </c>
      <c r="M64" s="4"/>
    </row>
    <row r="65" spans="1:13" hidden="1" x14ac:dyDescent="0.25">
      <c r="A65" s="38" t="s">
        <v>27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</row>
    <row r="66" spans="1:13" hidden="1" x14ac:dyDescent="0.25">
      <c r="A66" s="36">
        <v>1</v>
      </c>
      <c r="B66" s="36" t="s">
        <v>24</v>
      </c>
      <c r="C66" s="36" t="s">
        <v>25</v>
      </c>
      <c r="D66" s="36">
        <v>912</v>
      </c>
      <c r="E66" s="36">
        <v>80</v>
      </c>
      <c r="F66" s="36">
        <v>2</v>
      </c>
      <c r="G66" s="36">
        <v>12</v>
      </c>
      <c r="H66" s="36">
        <f>+G66*F66</f>
        <v>24</v>
      </c>
      <c r="I66" s="36"/>
      <c r="J66" s="36">
        <v>12</v>
      </c>
      <c r="K66" s="36">
        <f>+J66*I66</f>
        <v>0</v>
      </c>
      <c r="L66" s="36">
        <f>+K66-H66</f>
        <v>-24</v>
      </c>
      <c r="M66" s="4"/>
    </row>
    <row r="67" spans="1:13" hidden="1" x14ac:dyDescent="0.25">
      <c r="A67" s="36">
        <v>2</v>
      </c>
      <c r="B67" s="36" t="s">
        <v>29</v>
      </c>
      <c r="C67" s="36" t="s">
        <v>30</v>
      </c>
      <c r="D67" s="36">
        <v>235</v>
      </c>
      <c r="E67" s="36">
        <v>80</v>
      </c>
      <c r="F67" s="36">
        <v>2</v>
      </c>
      <c r="G67" s="36">
        <v>21</v>
      </c>
      <c r="H67" s="36">
        <f>+G67*F67</f>
        <v>42</v>
      </c>
      <c r="I67" s="36"/>
      <c r="J67" s="36">
        <v>21</v>
      </c>
      <c r="K67" s="36">
        <f>+J67*I67</f>
        <v>0</v>
      </c>
      <c r="L67" s="36">
        <f>+K67-H67</f>
        <v>-42</v>
      </c>
      <c r="M67" s="4"/>
    </row>
    <row r="68" spans="1:13" hidden="1" x14ac:dyDescent="0.25">
      <c r="A68" s="36">
        <v>3</v>
      </c>
      <c r="B68" s="36" t="s">
        <v>29</v>
      </c>
      <c r="C68" s="36" t="s">
        <v>30</v>
      </c>
      <c r="D68" s="36">
        <v>274</v>
      </c>
      <c r="E68" s="36">
        <v>80</v>
      </c>
      <c r="F68" s="36">
        <v>2</v>
      </c>
      <c r="G68" s="36">
        <v>21</v>
      </c>
      <c r="H68" s="36">
        <f t="shared" ref="H68:H72" si="16">+G68*F68</f>
        <v>42</v>
      </c>
      <c r="I68" s="36"/>
      <c r="J68" s="36">
        <v>21</v>
      </c>
      <c r="K68" s="36">
        <f t="shared" ref="K68:K72" si="17">+J68*I68</f>
        <v>0</v>
      </c>
      <c r="L68" s="36">
        <f t="shared" ref="L68:L72" si="18">+K68-H68</f>
        <v>-42</v>
      </c>
      <c r="M68" s="4"/>
    </row>
    <row r="69" spans="1:13" hidden="1" x14ac:dyDescent="0.25">
      <c r="A69" s="36">
        <v>4</v>
      </c>
      <c r="B69" s="36" t="s">
        <v>29</v>
      </c>
      <c r="C69" s="36" t="s">
        <v>30</v>
      </c>
      <c r="D69" s="36">
        <v>283</v>
      </c>
      <c r="E69" s="36">
        <v>80</v>
      </c>
      <c r="F69" s="36">
        <v>2</v>
      </c>
      <c r="G69" s="36">
        <v>21</v>
      </c>
      <c r="H69" s="36">
        <f t="shared" si="16"/>
        <v>42</v>
      </c>
      <c r="I69" s="36"/>
      <c r="J69" s="36">
        <v>21</v>
      </c>
      <c r="K69" s="36">
        <f t="shared" si="17"/>
        <v>0</v>
      </c>
      <c r="L69" s="36">
        <f t="shared" si="18"/>
        <v>-42</v>
      </c>
      <c r="M69" s="4"/>
    </row>
    <row r="70" spans="1:13" hidden="1" x14ac:dyDescent="0.25">
      <c r="A70" s="36">
        <v>5</v>
      </c>
      <c r="B70" s="36" t="s">
        <v>29</v>
      </c>
      <c r="C70" s="36" t="s">
        <v>30</v>
      </c>
      <c r="D70" s="36">
        <v>138</v>
      </c>
      <c r="E70" s="36">
        <v>80</v>
      </c>
      <c r="F70" s="36">
        <v>2</v>
      </c>
      <c r="G70" s="36">
        <v>21</v>
      </c>
      <c r="H70" s="36">
        <f t="shared" si="16"/>
        <v>42</v>
      </c>
      <c r="I70" s="36"/>
      <c r="J70" s="36">
        <v>21</v>
      </c>
      <c r="K70" s="36">
        <f t="shared" si="17"/>
        <v>0</v>
      </c>
      <c r="L70" s="36">
        <f t="shared" si="18"/>
        <v>-42</v>
      </c>
      <c r="M70" s="4"/>
    </row>
    <row r="71" spans="1:13" hidden="1" x14ac:dyDescent="0.25">
      <c r="A71" s="36">
        <v>6</v>
      </c>
      <c r="B71" s="36" t="s">
        <v>29</v>
      </c>
      <c r="C71" s="36" t="s">
        <v>30</v>
      </c>
      <c r="D71" s="36">
        <v>984</v>
      </c>
      <c r="E71" s="36">
        <v>80</v>
      </c>
      <c r="F71" s="36">
        <v>2</v>
      </c>
      <c r="G71" s="36">
        <v>21</v>
      </c>
      <c r="H71" s="36">
        <f t="shared" si="16"/>
        <v>42</v>
      </c>
      <c r="I71" s="36"/>
      <c r="J71" s="36">
        <v>21</v>
      </c>
      <c r="K71" s="36">
        <f t="shared" si="17"/>
        <v>0</v>
      </c>
      <c r="L71" s="36">
        <f t="shared" si="18"/>
        <v>-42</v>
      </c>
      <c r="M71" s="4"/>
    </row>
    <row r="72" spans="1:13" hidden="1" x14ac:dyDescent="0.25">
      <c r="A72" s="36">
        <v>7</v>
      </c>
      <c r="B72" s="36" t="s">
        <v>29</v>
      </c>
      <c r="C72" s="36" t="s">
        <v>30</v>
      </c>
      <c r="D72" s="36">
        <v>291</v>
      </c>
      <c r="E72" s="36">
        <v>80</v>
      </c>
      <c r="F72" s="36">
        <v>2</v>
      </c>
      <c r="G72" s="36">
        <v>21</v>
      </c>
      <c r="H72" s="36">
        <f t="shared" si="16"/>
        <v>42</v>
      </c>
      <c r="I72" s="36"/>
      <c r="J72" s="36">
        <v>21</v>
      </c>
      <c r="K72" s="36">
        <f t="shared" si="17"/>
        <v>0</v>
      </c>
      <c r="L72" s="36">
        <f t="shared" si="18"/>
        <v>-42</v>
      </c>
      <c r="M72" s="4"/>
    </row>
    <row r="73" spans="1:13" hidden="1" x14ac:dyDescent="0.25">
      <c r="A73" s="34"/>
      <c r="B73" s="34" t="s">
        <v>18</v>
      </c>
      <c r="C73" s="34"/>
      <c r="D73" s="34"/>
      <c r="E73" s="34"/>
      <c r="F73" s="34"/>
      <c r="G73" s="34"/>
      <c r="H73" s="34">
        <f>SUM(H66:H72)</f>
        <v>276</v>
      </c>
      <c r="I73" s="34"/>
      <c r="J73" s="34"/>
      <c r="K73" s="34">
        <f>SUM(K66:K72)</f>
        <v>0</v>
      </c>
      <c r="L73" s="34">
        <f>SUM(L66:L72)</f>
        <v>-276</v>
      </c>
      <c r="M73" s="4"/>
    </row>
    <row r="74" spans="1:13" x14ac:dyDescent="0.25">
      <c r="A74" s="38" t="s">
        <v>37</v>
      </c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</row>
    <row r="75" spans="1:13" x14ac:dyDescent="0.25">
      <c r="A75" s="36">
        <v>1</v>
      </c>
      <c r="B75" s="36" t="s">
        <v>16</v>
      </c>
      <c r="C75" s="36" t="s">
        <v>17</v>
      </c>
      <c r="D75" s="36">
        <v>976</v>
      </c>
      <c r="E75" s="36">
        <v>35</v>
      </c>
      <c r="F75" s="36">
        <v>3</v>
      </c>
      <c r="G75" s="36">
        <v>28</v>
      </c>
      <c r="H75" s="36">
        <f>+G75*F75</f>
        <v>84</v>
      </c>
      <c r="I75" s="36">
        <v>2</v>
      </c>
      <c r="J75" s="36"/>
      <c r="K75" s="36">
        <v>56.39</v>
      </c>
      <c r="L75" s="36">
        <f>+K75-H75</f>
        <v>-27.61</v>
      </c>
      <c r="M75" s="4" t="s">
        <v>44</v>
      </c>
    </row>
    <row r="76" spans="1:13" x14ac:dyDescent="0.25">
      <c r="A76" s="36">
        <v>2</v>
      </c>
      <c r="B76" s="36" t="s">
        <v>16</v>
      </c>
      <c r="C76" s="36" t="s">
        <v>17</v>
      </c>
      <c r="D76" s="36">
        <v>274</v>
      </c>
      <c r="E76" s="36">
        <v>35</v>
      </c>
      <c r="F76" s="36">
        <v>3</v>
      </c>
      <c r="G76" s="36">
        <v>28</v>
      </c>
      <c r="H76" s="36">
        <f>+G76*F76</f>
        <v>84</v>
      </c>
      <c r="I76" s="36">
        <v>1</v>
      </c>
      <c r="J76" s="36"/>
      <c r="K76" s="36">
        <v>28.16</v>
      </c>
      <c r="L76" s="36">
        <f>+K76-H76</f>
        <v>-55.84</v>
      </c>
      <c r="M76" s="4" t="s">
        <v>45</v>
      </c>
    </row>
    <row r="77" spans="1:13" x14ac:dyDescent="0.25">
      <c r="A77" s="36">
        <v>3</v>
      </c>
      <c r="B77" s="36" t="s">
        <v>16</v>
      </c>
      <c r="C77" s="36" t="s">
        <v>17</v>
      </c>
      <c r="D77" s="36">
        <v>368</v>
      </c>
      <c r="E77" s="36">
        <v>35</v>
      </c>
      <c r="F77" s="36">
        <v>3</v>
      </c>
      <c r="G77" s="36">
        <v>28</v>
      </c>
      <c r="H77" s="36">
        <f t="shared" ref="H77:H87" si="19">+G77*F77</f>
        <v>84</v>
      </c>
      <c r="I77" s="36">
        <v>2</v>
      </c>
      <c r="J77" s="36"/>
      <c r="K77" s="19">
        <v>56.5</v>
      </c>
      <c r="L77" s="36">
        <f t="shared" ref="L77:L87" si="20">+K77-H77</f>
        <v>-27.5</v>
      </c>
      <c r="M77" s="4"/>
    </row>
    <row r="78" spans="1:13" x14ac:dyDescent="0.25">
      <c r="A78" s="36">
        <v>4</v>
      </c>
      <c r="B78" s="36" t="s">
        <v>16</v>
      </c>
      <c r="C78" s="36" t="s">
        <v>17</v>
      </c>
      <c r="D78" s="36">
        <v>797</v>
      </c>
      <c r="E78" s="36">
        <v>35</v>
      </c>
      <c r="F78" s="36">
        <v>3</v>
      </c>
      <c r="G78" s="36">
        <v>28</v>
      </c>
      <c r="H78" s="36">
        <f t="shared" si="19"/>
        <v>84</v>
      </c>
      <c r="I78" s="36">
        <v>3</v>
      </c>
      <c r="J78" s="36"/>
      <c r="K78" s="36">
        <v>85.04</v>
      </c>
      <c r="L78" s="36">
        <f t="shared" si="20"/>
        <v>1.0400000000000063</v>
      </c>
      <c r="M78" s="4"/>
    </row>
    <row r="79" spans="1:13" x14ac:dyDescent="0.25">
      <c r="A79" s="36">
        <v>5</v>
      </c>
      <c r="B79" s="36" t="s">
        <v>16</v>
      </c>
      <c r="C79" s="36" t="s">
        <v>17</v>
      </c>
      <c r="D79" s="36">
        <v>730</v>
      </c>
      <c r="E79" s="36">
        <v>35</v>
      </c>
      <c r="F79" s="36">
        <v>3</v>
      </c>
      <c r="G79" s="36">
        <v>28</v>
      </c>
      <c r="H79" s="36">
        <f t="shared" si="19"/>
        <v>84</v>
      </c>
      <c r="I79" s="36">
        <v>3</v>
      </c>
      <c r="J79" s="36"/>
      <c r="K79" s="36">
        <v>84.56</v>
      </c>
      <c r="L79" s="36">
        <f t="shared" si="20"/>
        <v>0.56000000000000227</v>
      </c>
      <c r="M79" s="4"/>
    </row>
    <row r="80" spans="1:13" x14ac:dyDescent="0.25">
      <c r="A80" s="36">
        <v>6</v>
      </c>
      <c r="B80" s="36" t="s">
        <v>16</v>
      </c>
      <c r="C80" s="36" t="s">
        <v>17</v>
      </c>
      <c r="D80" s="36">
        <v>708</v>
      </c>
      <c r="E80" s="36">
        <v>35</v>
      </c>
      <c r="F80" s="36">
        <v>3</v>
      </c>
      <c r="G80" s="36">
        <v>28</v>
      </c>
      <c r="H80" s="36">
        <f t="shared" si="19"/>
        <v>84</v>
      </c>
      <c r="I80" s="36">
        <v>3</v>
      </c>
      <c r="J80" s="36"/>
      <c r="K80" s="36">
        <v>84.62</v>
      </c>
      <c r="L80" s="36">
        <f t="shared" si="20"/>
        <v>0.62000000000000455</v>
      </c>
      <c r="M80" s="4"/>
    </row>
    <row r="81" spans="1:13" x14ac:dyDescent="0.25">
      <c r="A81" s="36">
        <v>7</v>
      </c>
      <c r="B81" s="36" t="s">
        <v>16</v>
      </c>
      <c r="C81" s="36" t="s">
        <v>17</v>
      </c>
      <c r="D81" s="36">
        <v>564</v>
      </c>
      <c r="E81" s="36">
        <v>35</v>
      </c>
      <c r="F81" s="36">
        <v>3</v>
      </c>
      <c r="G81" s="36">
        <v>28</v>
      </c>
      <c r="H81" s="36">
        <f t="shared" si="19"/>
        <v>84</v>
      </c>
      <c r="I81" s="36">
        <v>1</v>
      </c>
      <c r="J81" s="36"/>
      <c r="K81" s="19">
        <v>28.26</v>
      </c>
      <c r="L81" s="36">
        <f t="shared" si="20"/>
        <v>-55.739999999999995</v>
      </c>
      <c r="M81" s="4"/>
    </row>
    <row r="82" spans="1:13" x14ac:dyDescent="0.25">
      <c r="A82" s="36">
        <v>8</v>
      </c>
      <c r="B82" s="36" t="s">
        <v>16</v>
      </c>
      <c r="C82" s="36" t="s">
        <v>17</v>
      </c>
      <c r="D82" s="36">
        <v>428</v>
      </c>
      <c r="E82" s="36">
        <v>35</v>
      </c>
      <c r="F82" s="36">
        <v>3</v>
      </c>
      <c r="G82" s="36">
        <v>28</v>
      </c>
      <c r="H82" s="36">
        <f t="shared" si="19"/>
        <v>84</v>
      </c>
      <c r="I82" s="36">
        <v>3</v>
      </c>
      <c r="J82" s="36"/>
      <c r="K82" s="36">
        <v>84.48</v>
      </c>
      <c r="L82" s="36">
        <f t="shared" si="20"/>
        <v>0.48000000000000398</v>
      </c>
      <c r="M82" s="4"/>
    </row>
    <row r="83" spans="1:13" x14ac:dyDescent="0.25">
      <c r="A83" s="36">
        <v>9</v>
      </c>
      <c r="B83" s="36" t="s">
        <v>16</v>
      </c>
      <c r="C83" s="36" t="s">
        <v>17</v>
      </c>
      <c r="D83" s="36">
        <v>796</v>
      </c>
      <c r="E83" s="36">
        <v>35</v>
      </c>
      <c r="F83" s="36">
        <v>3</v>
      </c>
      <c r="G83" s="36">
        <v>28</v>
      </c>
      <c r="H83" s="36">
        <f t="shared" si="19"/>
        <v>84</v>
      </c>
      <c r="I83" s="36">
        <v>2</v>
      </c>
      <c r="J83" s="36"/>
      <c r="K83" s="19">
        <v>56.61</v>
      </c>
      <c r="L83" s="36">
        <f t="shared" si="20"/>
        <v>-27.39</v>
      </c>
      <c r="M83" s="4"/>
    </row>
    <row r="84" spans="1:13" x14ac:dyDescent="0.25">
      <c r="A84" s="36">
        <v>10</v>
      </c>
      <c r="B84" s="36" t="s">
        <v>16</v>
      </c>
      <c r="C84" s="36" t="s">
        <v>17</v>
      </c>
      <c r="D84" s="36">
        <v>476</v>
      </c>
      <c r="E84" s="36">
        <v>35</v>
      </c>
      <c r="F84" s="36">
        <v>3</v>
      </c>
      <c r="G84" s="36">
        <v>28</v>
      </c>
      <c r="H84" s="36">
        <f t="shared" si="19"/>
        <v>84</v>
      </c>
      <c r="I84" s="36">
        <v>2</v>
      </c>
      <c r="J84" s="36"/>
      <c r="K84" s="19">
        <v>56.63</v>
      </c>
      <c r="L84" s="36">
        <f t="shared" si="20"/>
        <v>-27.369999999999997</v>
      </c>
      <c r="M84" s="4"/>
    </row>
    <row r="85" spans="1:13" x14ac:dyDescent="0.25">
      <c r="A85" s="36">
        <v>11</v>
      </c>
      <c r="B85" s="36" t="s">
        <v>16</v>
      </c>
      <c r="C85" s="36" t="s">
        <v>17</v>
      </c>
      <c r="D85" s="36">
        <v>365</v>
      </c>
      <c r="E85" s="36">
        <v>35</v>
      </c>
      <c r="F85" s="36">
        <v>3</v>
      </c>
      <c r="G85" s="36">
        <v>28</v>
      </c>
      <c r="H85" s="36">
        <f t="shared" si="19"/>
        <v>84</v>
      </c>
      <c r="I85" s="36">
        <v>3</v>
      </c>
      <c r="J85" s="36"/>
      <c r="K85" s="36">
        <v>84.77</v>
      </c>
      <c r="L85" s="36">
        <f t="shared" si="20"/>
        <v>0.76999999999999602</v>
      </c>
      <c r="M85" s="4"/>
    </row>
    <row r="86" spans="1:13" hidden="1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4"/>
    </row>
    <row r="87" spans="1:13" hidden="1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4"/>
    </row>
    <row r="88" spans="1:13" x14ac:dyDescent="0.25">
      <c r="A88" s="34"/>
      <c r="B88" s="34" t="s">
        <v>18</v>
      </c>
      <c r="C88" s="34"/>
      <c r="D88" s="34"/>
      <c r="E88" s="34"/>
      <c r="F88" s="34"/>
      <c r="G88" s="34"/>
      <c r="H88" s="34">
        <f>SUM(H75:H87)</f>
        <v>924</v>
      </c>
      <c r="I88" s="34"/>
      <c r="J88" s="34"/>
      <c r="K88" s="34">
        <f>SUM(K75:K87)</f>
        <v>706.02</v>
      </c>
      <c r="L88" s="34">
        <f>SUM(L75:L87)</f>
        <v>-217.97999999999996</v>
      </c>
      <c r="M88" s="25" t="s">
        <v>38</v>
      </c>
    </row>
    <row r="89" spans="1:13" hidden="1" x14ac:dyDescent="0.25">
      <c r="A89" s="38" t="s">
        <v>35</v>
      </c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</row>
    <row r="90" spans="1:13" hidden="1" x14ac:dyDescent="0.25">
      <c r="A90" s="36">
        <v>1</v>
      </c>
      <c r="B90" s="36" t="s">
        <v>24</v>
      </c>
      <c r="C90" s="36" t="s">
        <v>25</v>
      </c>
      <c r="D90" s="36"/>
      <c r="E90" s="36">
        <v>80</v>
      </c>
      <c r="F90" s="36">
        <v>2</v>
      </c>
      <c r="G90" s="36">
        <v>12</v>
      </c>
      <c r="H90" s="36">
        <f>+G90*F90</f>
        <v>24</v>
      </c>
      <c r="I90" s="36"/>
      <c r="J90" s="36">
        <v>12</v>
      </c>
      <c r="K90" s="36">
        <f>+J90*I90</f>
        <v>0</v>
      </c>
      <c r="L90" s="36">
        <f>+K90-H90</f>
        <v>-24</v>
      </c>
      <c r="M90" s="4"/>
    </row>
    <row r="91" spans="1:13" hidden="1" x14ac:dyDescent="0.25">
      <c r="A91" s="36">
        <v>2</v>
      </c>
      <c r="B91" s="36" t="s">
        <v>24</v>
      </c>
      <c r="C91" s="36" t="s">
        <v>25</v>
      </c>
      <c r="D91" s="36"/>
      <c r="E91" s="36">
        <v>80</v>
      </c>
      <c r="F91" s="36">
        <v>2</v>
      </c>
      <c r="G91" s="36">
        <v>12</v>
      </c>
      <c r="H91" s="36">
        <f>+G91*F91</f>
        <v>24</v>
      </c>
      <c r="I91" s="36"/>
      <c r="J91" s="36">
        <v>21</v>
      </c>
      <c r="K91" s="36">
        <f>+J91*I91</f>
        <v>0</v>
      </c>
      <c r="L91" s="36">
        <f>+K91-H91</f>
        <v>-24</v>
      </c>
      <c r="M91" s="4"/>
    </row>
    <row r="92" spans="1:13" hidden="1" x14ac:dyDescent="0.25">
      <c r="A92" s="36">
        <v>3</v>
      </c>
      <c r="B92" s="36" t="s">
        <v>24</v>
      </c>
      <c r="C92" s="36" t="s">
        <v>25</v>
      </c>
      <c r="D92" s="36"/>
      <c r="E92" s="36">
        <v>80</v>
      </c>
      <c r="F92" s="36">
        <v>2</v>
      </c>
      <c r="G92" s="36">
        <v>12</v>
      </c>
      <c r="H92" s="36">
        <f t="shared" ref="H92" si="21">+G92*F92</f>
        <v>24</v>
      </c>
      <c r="I92" s="36"/>
      <c r="J92" s="36">
        <v>21</v>
      </c>
      <c r="K92" s="36">
        <f t="shared" ref="K92" si="22">+J92*I92</f>
        <v>0</v>
      </c>
      <c r="L92" s="36">
        <f t="shared" ref="L92" si="23">+K92-H92</f>
        <v>-24</v>
      </c>
      <c r="M92" s="4"/>
    </row>
    <row r="93" spans="1:13" hidden="1" x14ac:dyDescent="0.25">
      <c r="A93" s="34"/>
      <c r="B93" s="34" t="s">
        <v>18</v>
      </c>
      <c r="C93" s="34"/>
      <c r="D93" s="34"/>
      <c r="E93" s="34"/>
      <c r="F93" s="34"/>
      <c r="G93" s="34"/>
      <c r="H93" s="34">
        <f>SUM(H90:H92)</f>
        <v>72</v>
      </c>
      <c r="I93" s="34"/>
      <c r="J93" s="34"/>
      <c r="K93" s="34">
        <f>SUM(K90:K92)</f>
        <v>0</v>
      </c>
      <c r="L93" s="34">
        <f>SUM(L90:L92)</f>
        <v>-72</v>
      </c>
      <c r="M93" s="4"/>
    </row>
    <row r="94" spans="1:13" x14ac:dyDescent="0.25">
      <c r="A94" s="43" t="s">
        <v>31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5"/>
    </row>
    <row r="95" spans="1:13" hidden="1" x14ac:dyDescent="0.25">
      <c r="A95" s="38" t="s">
        <v>27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</row>
    <row r="96" spans="1:13" hidden="1" x14ac:dyDescent="0.25">
      <c r="A96" s="36">
        <v>1</v>
      </c>
      <c r="B96" s="36" t="s">
        <v>29</v>
      </c>
      <c r="C96" s="36" t="s">
        <v>30</v>
      </c>
      <c r="D96" s="36"/>
      <c r="E96" s="36">
        <v>80</v>
      </c>
      <c r="F96" s="36">
        <v>2</v>
      </c>
      <c r="G96" s="36">
        <v>21</v>
      </c>
      <c r="H96" s="36">
        <f t="shared" ref="H96:H101" si="24">+G96*F96</f>
        <v>42</v>
      </c>
      <c r="I96" s="36"/>
      <c r="J96" s="36">
        <v>21</v>
      </c>
      <c r="K96" s="36">
        <f t="shared" ref="K96:K101" si="25">+J96*I96</f>
        <v>0</v>
      </c>
      <c r="L96" s="36">
        <f t="shared" ref="L96:L101" si="26">+K96-H96</f>
        <v>-42</v>
      </c>
      <c r="M96" s="4"/>
    </row>
    <row r="97" spans="1:13" hidden="1" x14ac:dyDescent="0.25">
      <c r="A97" s="36">
        <v>2</v>
      </c>
      <c r="B97" s="36" t="s">
        <v>29</v>
      </c>
      <c r="C97" s="36" t="s">
        <v>30</v>
      </c>
      <c r="D97" s="36"/>
      <c r="E97" s="36">
        <v>80</v>
      </c>
      <c r="F97" s="36">
        <v>2</v>
      </c>
      <c r="G97" s="36">
        <v>21</v>
      </c>
      <c r="H97" s="36">
        <f t="shared" si="24"/>
        <v>42</v>
      </c>
      <c r="I97" s="36"/>
      <c r="J97" s="36">
        <v>21</v>
      </c>
      <c r="K97" s="36">
        <f t="shared" si="25"/>
        <v>0</v>
      </c>
      <c r="L97" s="36">
        <f t="shared" si="26"/>
        <v>-42</v>
      </c>
      <c r="M97" s="4"/>
    </row>
    <row r="98" spans="1:13" hidden="1" x14ac:dyDescent="0.25">
      <c r="A98" s="36">
        <v>3</v>
      </c>
      <c r="B98" s="36" t="s">
        <v>29</v>
      </c>
      <c r="C98" s="36" t="s">
        <v>30</v>
      </c>
      <c r="D98" s="36"/>
      <c r="E98" s="36">
        <v>80</v>
      </c>
      <c r="F98" s="36">
        <v>2</v>
      </c>
      <c r="G98" s="36">
        <v>21</v>
      </c>
      <c r="H98" s="36">
        <f t="shared" si="24"/>
        <v>42</v>
      </c>
      <c r="I98" s="36"/>
      <c r="J98" s="36">
        <v>21</v>
      </c>
      <c r="K98" s="36">
        <f t="shared" si="25"/>
        <v>0</v>
      </c>
      <c r="L98" s="36">
        <f t="shared" si="26"/>
        <v>-42</v>
      </c>
      <c r="M98" s="4"/>
    </row>
    <row r="99" spans="1:13" hidden="1" x14ac:dyDescent="0.25">
      <c r="A99" s="36">
        <v>4</v>
      </c>
      <c r="B99" s="36" t="s">
        <v>32</v>
      </c>
      <c r="C99" s="36" t="s">
        <v>33</v>
      </c>
      <c r="D99" s="36"/>
      <c r="E99" s="36">
        <v>88</v>
      </c>
      <c r="F99" s="36">
        <v>2</v>
      </c>
      <c r="G99" s="36">
        <v>24</v>
      </c>
      <c r="H99" s="36">
        <f t="shared" si="24"/>
        <v>48</v>
      </c>
      <c r="I99" s="36"/>
      <c r="J99" s="36">
        <v>24</v>
      </c>
      <c r="K99" s="36">
        <f t="shared" si="25"/>
        <v>0</v>
      </c>
      <c r="L99" s="36">
        <f t="shared" si="26"/>
        <v>-48</v>
      </c>
      <c r="M99" s="4"/>
    </row>
    <row r="100" spans="1:13" hidden="1" x14ac:dyDescent="0.25">
      <c r="A100" s="36">
        <v>5</v>
      </c>
      <c r="B100" s="36" t="s">
        <v>32</v>
      </c>
      <c r="C100" s="36" t="s">
        <v>33</v>
      </c>
      <c r="D100" s="36"/>
      <c r="E100" s="36">
        <v>88</v>
      </c>
      <c r="F100" s="36">
        <v>2</v>
      </c>
      <c r="G100" s="36">
        <v>12</v>
      </c>
      <c r="H100" s="36">
        <f t="shared" si="24"/>
        <v>24</v>
      </c>
      <c r="I100" s="36"/>
      <c r="J100" s="36">
        <v>12</v>
      </c>
      <c r="K100" s="36">
        <f t="shared" si="25"/>
        <v>0</v>
      </c>
      <c r="L100" s="36">
        <f t="shared" si="26"/>
        <v>-24</v>
      </c>
      <c r="M100" s="4"/>
    </row>
    <row r="101" spans="1:13" hidden="1" x14ac:dyDescent="0.25">
      <c r="A101" s="36">
        <v>6</v>
      </c>
      <c r="B101" s="36" t="s">
        <v>32</v>
      </c>
      <c r="C101" s="36" t="s">
        <v>33</v>
      </c>
      <c r="D101" s="36"/>
      <c r="E101" s="36">
        <v>88</v>
      </c>
      <c r="F101" s="36">
        <v>2</v>
      </c>
      <c r="G101" s="36">
        <v>12</v>
      </c>
      <c r="H101" s="36">
        <f t="shared" si="24"/>
        <v>24</v>
      </c>
      <c r="I101" s="36"/>
      <c r="J101" s="36">
        <v>12</v>
      </c>
      <c r="K101" s="36">
        <f t="shared" si="25"/>
        <v>0</v>
      </c>
      <c r="L101" s="36">
        <f t="shared" si="26"/>
        <v>-24</v>
      </c>
      <c r="M101" s="4"/>
    </row>
    <row r="102" spans="1:13" hidden="1" x14ac:dyDescent="0.2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4"/>
    </row>
    <row r="103" spans="1:13" hidden="1" x14ac:dyDescent="0.2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4"/>
    </row>
    <row r="104" spans="1:13" hidden="1" x14ac:dyDescent="0.2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4"/>
    </row>
    <row r="105" spans="1:13" hidden="1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4"/>
    </row>
    <row r="106" spans="1:13" hidden="1" x14ac:dyDescent="0.2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4"/>
    </row>
    <row r="107" spans="1:13" hidden="1" x14ac:dyDescent="0.25">
      <c r="A107" s="34"/>
      <c r="B107" s="34" t="s">
        <v>18</v>
      </c>
      <c r="C107" s="34"/>
      <c r="D107" s="34"/>
      <c r="E107" s="34"/>
      <c r="F107" s="34"/>
      <c r="G107" s="34"/>
      <c r="H107" s="34">
        <f>SUM(H96:H106)</f>
        <v>222</v>
      </c>
      <c r="I107" s="34"/>
      <c r="J107" s="34"/>
      <c r="K107" s="34">
        <f>SUM(K96:K106)</f>
        <v>0</v>
      </c>
      <c r="L107" s="34">
        <f>SUM(L96:L106)</f>
        <v>-222</v>
      </c>
      <c r="M107" s="4"/>
    </row>
    <row r="108" spans="1:13" hidden="1" x14ac:dyDescent="0.25"/>
  </sheetData>
  <mergeCells count="21">
    <mergeCell ref="A74:M74"/>
    <mergeCell ref="A89:M89"/>
    <mergeCell ref="A94:M94"/>
    <mergeCell ref="A95:M95"/>
    <mergeCell ref="A26:M26"/>
    <mergeCell ref="A35:M35"/>
    <mergeCell ref="A44:M44"/>
    <mergeCell ref="A55:M55"/>
    <mergeCell ref="A65:M65"/>
    <mergeCell ref="I2:K2"/>
    <mergeCell ref="L2:L3"/>
    <mergeCell ref="M2:M4"/>
    <mergeCell ref="A5:M5"/>
    <mergeCell ref="A6:M6"/>
    <mergeCell ref="A17:M17"/>
    <mergeCell ref="A2:A4"/>
    <mergeCell ref="B2:B4"/>
    <mergeCell ref="C2:C4"/>
    <mergeCell ref="D2:D4"/>
    <mergeCell ref="E2:E3"/>
    <mergeCell ref="F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09.09.2026</vt:lpstr>
      <vt:lpstr>10.09.2026</vt:lpstr>
      <vt:lpstr>11.09.2026</vt:lpstr>
      <vt:lpstr>12.09.2026</vt:lpstr>
      <vt:lpstr>13.09.2026</vt:lpstr>
      <vt:lpstr>15.09.2026</vt:lpstr>
      <vt:lpstr>16.09.2026</vt:lpstr>
      <vt:lpstr>21.09.2026</vt:lpstr>
      <vt:lpstr>22.09.2026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Борисов Михаил Петрович</dc:creator>
  <cp:lastModifiedBy>Борисов Михаил Петрович</cp:lastModifiedBy>
  <dcterms:created xsi:type="dcterms:W3CDTF">2015-06-05T18:19:34Z</dcterms:created>
  <dcterms:modified xsi:type="dcterms:W3CDTF">2026-09-22T23:22:36Z</dcterms:modified>
</cp:coreProperties>
</file>