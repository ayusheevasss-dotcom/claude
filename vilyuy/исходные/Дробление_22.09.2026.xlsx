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M:\PTO\2026\004 Капитальный ремонт Вилюй км1180-км1190 (10 км)\Ежедневная сводка\7-Сентябрь\22.09.2026\"/>
    </mc:Choice>
  </mc:AlternateContent>
  <xr:revisionPtr revIDLastSave="0" documentId="13_ncr:1_{B108EFA8-7D15-48D2-B5C0-18B340966CFB}" xr6:coauthVersionLast="36" xr6:coauthVersionMax="36" xr10:uidLastSave="{00000000-0000-0000-0000-000000000000}"/>
  <bookViews>
    <workbookView xWindow="360" yWindow="15" windowWidth="20955" windowHeight="9720" firstSheet="2" activeTab="2" xr2:uid="{00000000-000D-0000-FFFF-FFFF00000000}"/>
  </bookViews>
  <sheets>
    <sheet name="Дробление Май" sheetId="1" state="hidden" r:id="rId1"/>
    <sheet name="Дробление март" sheetId="2" state="hidden" r:id="rId2"/>
    <sheet name="Дробление Август" sheetId="6" r:id="rId3"/>
    <sheet name="Дробление Апрель" sheetId="3" state="hidden" r:id="rId4"/>
    <sheet name="Вывоз материала" sheetId="4" state="hidden" r:id="rId5"/>
    <sheet name="Техника" sheetId="5" state="hidden" r:id="rId6"/>
  </sheets>
  <definedNames>
    <definedName name="Z_15A017F5_936B_48BC_9733_4998313FAAE3_.wvu.Cols" localSheetId="4" hidden="1">'Вывоз материала'!$A:$A</definedName>
    <definedName name="Z_15A017F5_936B_48BC_9733_4998313FAAE3_.wvu.Cols" localSheetId="2" hidden="1">'Дробление Август'!$A:$A</definedName>
    <definedName name="Z_15A017F5_936B_48BC_9733_4998313FAAE3_.wvu.Cols" localSheetId="3" hidden="1">'Дробление Апрель'!$A:$A</definedName>
    <definedName name="Z_15A017F5_936B_48BC_9733_4998313FAAE3_.wvu.Cols" localSheetId="0" hidden="1">'Дробление Май'!$A:$A</definedName>
    <definedName name="Z_15A017F5_936B_48BC_9733_4998313FAAE3_.wvu.Cols" localSheetId="1" hidden="1">'Дробление март'!$A:$A</definedName>
    <definedName name="Z_15A017F5_936B_48BC_9733_4998313FAAE3_.wvu.Rows" localSheetId="4" hidden="1">'Вывоз материала'!#REF!,'Вывоз материала'!$13:$17</definedName>
    <definedName name="Z_15A017F5_936B_48BC_9733_4998313FAAE3_.wvu.Rows" localSheetId="2" hidden="1">'Дробление Август'!#REF!,'Дробление Август'!$18:$23</definedName>
    <definedName name="Z_15A017F5_936B_48BC_9733_4998313FAAE3_.wvu.Rows" localSheetId="3" hidden="1">'Дробление Апрель'!#REF!,'Дробление Апрель'!$13:$17</definedName>
    <definedName name="Z_15A017F5_936B_48BC_9733_4998313FAAE3_.wvu.Rows" localSheetId="0" hidden="1">'Дробление Май'!#REF!,'Дробление Май'!$13:$17</definedName>
    <definedName name="Z_15A017F5_936B_48BC_9733_4998313FAAE3_.wvu.Rows" localSheetId="1" hidden="1">'Дробление март'!#REF!,'Дробление март'!$18:$23</definedName>
    <definedName name="_xlnm.Print_Area" localSheetId="4">'Вывоз материала'!$A$1:$AM$45</definedName>
    <definedName name="_xlnm.Print_Area" localSheetId="2">'Дробление Август'!$A$1:$AM$99</definedName>
    <definedName name="_xlnm.Print_Area" localSheetId="3">'Дробление Апрель'!$A$1:$AM$49</definedName>
    <definedName name="_xlnm.Print_Area" localSheetId="0">'Дробление Май'!$A$1:$AM$71</definedName>
    <definedName name="_xlnm.Print_Area" localSheetId="1">'Дробление март'!$A$1:$AM$98</definedName>
  </definedNames>
  <calcPr calcId="191029"/>
</workbook>
</file>

<file path=xl/calcChain.xml><?xml version="1.0" encoding="utf-8"?>
<calcChain xmlns="http://schemas.openxmlformats.org/spreadsheetml/2006/main">
  <c r="AA16" i="6" l="1"/>
  <c r="Z16" i="6" l="1"/>
  <c r="Y16" i="6" l="1"/>
  <c r="Y64" i="6"/>
  <c r="Y63" i="6"/>
  <c r="W64" i="6" l="1"/>
  <c r="W63" i="6"/>
  <c r="V64" i="6" l="1"/>
  <c r="V63" i="6"/>
  <c r="T64" i="6" l="1"/>
  <c r="T63" i="6"/>
  <c r="Q64" i="6" l="1"/>
  <c r="O64" i="6" l="1"/>
  <c r="O63" i="6"/>
  <c r="K64" i="6" l="1"/>
  <c r="K63" i="6"/>
  <c r="F64" i="6" l="1"/>
  <c r="F63" i="6"/>
  <c r="AK40" i="6" l="1"/>
  <c r="E40" i="6" s="1"/>
  <c r="AL109" i="6"/>
  <c r="AK109" i="6"/>
  <c r="E109" i="6" s="1"/>
  <c r="AK104" i="6" l="1"/>
  <c r="E104" i="6" s="1"/>
  <c r="AL104" i="6"/>
  <c r="AL99" i="6" l="1"/>
  <c r="AK99" i="6"/>
  <c r="E99" i="6" s="1"/>
  <c r="AL94" i="6" l="1"/>
  <c r="AK94" i="6"/>
  <c r="E94" i="6" s="1"/>
  <c r="AL89" i="6"/>
  <c r="AK89" i="6"/>
  <c r="E89" i="6"/>
  <c r="AL84" i="6"/>
  <c r="AK84" i="6"/>
  <c r="E84" i="6"/>
  <c r="AL79" i="6"/>
  <c r="AK79" i="6"/>
  <c r="E79" i="6" s="1"/>
  <c r="AL74" i="6"/>
  <c r="AK74" i="6"/>
  <c r="E74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AK69" i="6"/>
  <c r="E69" i="6"/>
  <c r="AK68" i="6"/>
  <c r="AK67" i="6"/>
  <c r="AK66" i="6"/>
  <c r="E66" i="6"/>
  <c r="AK65" i="6"/>
  <c r="AK64" i="6"/>
  <c r="E64" i="6" s="1"/>
  <c r="AK63" i="6"/>
  <c r="E63" i="6" s="1"/>
  <c r="AK62" i="6"/>
  <c r="E62" i="6" s="1"/>
  <c r="AK61" i="6"/>
  <c r="E61" i="6"/>
  <c r="AK60" i="6"/>
  <c r="E60" i="6"/>
  <c r="AL59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AK54" i="6"/>
  <c r="E54" i="6"/>
  <c r="AK53" i="6"/>
  <c r="E53" i="6"/>
  <c r="AK52" i="6"/>
  <c r="E52" i="6"/>
  <c r="AK51" i="6"/>
  <c r="E51" i="6"/>
  <c r="AK50" i="6"/>
  <c r="E50" i="6" s="1"/>
  <c r="AK49" i="6"/>
  <c r="E49" i="6" s="1"/>
  <c r="AK48" i="6"/>
  <c r="E48" i="6"/>
  <c r="AK47" i="6"/>
  <c r="E47" i="6"/>
  <c r="AK46" i="6"/>
  <c r="E46" i="6"/>
  <c r="AL45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AK41" i="6"/>
  <c r="E41" i="6" s="1"/>
  <c r="AK39" i="6"/>
  <c r="E39" i="6" s="1"/>
  <c r="AK38" i="6"/>
  <c r="E38" i="6" s="1"/>
  <c r="AK37" i="6"/>
  <c r="E37" i="6" s="1"/>
  <c r="AK36" i="6"/>
  <c r="E36" i="6" s="1"/>
  <c r="AK35" i="6"/>
  <c r="E35" i="6" s="1"/>
  <c r="AK34" i="6"/>
  <c r="E34" i="6" s="1"/>
  <c r="AK33" i="6"/>
  <c r="E33" i="6" s="1"/>
  <c r="AK32" i="6"/>
  <c r="E32" i="6" s="1"/>
  <c r="AL31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AL26" i="6"/>
  <c r="AK26" i="6"/>
  <c r="E26" i="6"/>
  <c r="AK22" i="6"/>
  <c r="E22" i="6" s="1"/>
  <c r="AK21" i="6"/>
  <c r="E21" i="6" s="1"/>
  <c r="AL20" i="6"/>
  <c r="AK20" i="6"/>
  <c r="AK15" i="6"/>
  <c r="E15" i="6" s="1"/>
  <c r="AL15" i="6"/>
  <c r="AL10" i="6"/>
  <c r="AK10" i="6"/>
  <c r="E10" i="6"/>
  <c r="E42" i="6" l="1"/>
  <c r="AK55" i="6"/>
  <c r="AK70" i="6"/>
  <c r="E70" i="6"/>
  <c r="E55" i="6"/>
  <c r="AK42" i="6"/>
  <c r="AH16" i="2"/>
  <c r="AF16" i="2" l="1"/>
  <c r="AE16" i="2" l="1"/>
  <c r="AD16" i="2" l="1"/>
  <c r="AB16" i="2" l="1"/>
  <c r="AC16" i="2"/>
  <c r="Y16" i="2" l="1"/>
  <c r="X16" i="2" l="1"/>
  <c r="V16" i="2" l="1"/>
  <c r="W16" i="2"/>
  <c r="R16" i="2" l="1"/>
  <c r="S16" i="2"/>
  <c r="Q16" i="2" l="1"/>
  <c r="K16" i="2" l="1"/>
  <c r="L16" i="2"/>
  <c r="M16" i="2"/>
  <c r="N16" i="2"/>
  <c r="O16" i="2"/>
  <c r="P16" i="2"/>
  <c r="H16" i="2" l="1"/>
  <c r="I16" i="2"/>
  <c r="J16" i="2"/>
  <c r="AK21" i="2" l="1"/>
  <c r="E21" i="2" s="1"/>
  <c r="AK22" i="2"/>
  <c r="E22" i="2" s="1"/>
  <c r="AK20" i="2"/>
  <c r="AK93" i="2" l="1"/>
  <c r="E93" i="2" s="1"/>
  <c r="AJ54" i="2" l="1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I54" i="2"/>
  <c r="AK53" i="2"/>
  <c r="E53" i="2" s="1"/>
  <c r="AK52" i="2"/>
  <c r="E52" i="2" s="1"/>
  <c r="AK51" i="2"/>
  <c r="E51" i="2" s="1"/>
  <c r="AK50" i="2"/>
  <c r="E50" i="2" s="1"/>
  <c r="AK49" i="2"/>
  <c r="E49" i="2" s="1"/>
  <c r="AK48" i="2"/>
  <c r="E48" i="2" s="1"/>
  <c r="G54" i="2"/>
  <c r="AK47" i="2"/>
  <c r="E47" i="2" s="1"/>
  <c r="AK46" i="2"/>
  <c r="E46" i="2" s="1"/>
  <c r="L54" i="2"/>
  <c r="K54" i="2"/>
  <c r="J54" i="2"/>
  <c r="H54" i="2"/>
  <c r="AL44" i="2"/>
  <c r="AK45" i="2" l="1"/>
  <c r="E45" i="2" s="1"/>
  <c r="F54" i="2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AH44" i="4"/>
  <c r="AL43" i="4"/>
  <c r="AK43" i="4"/>
  <c r="E43" i="4"/>
  <c r="AJ40" i="4"/>
  <c r="AI40" i="4"/>
  <c r="AH40" i="4"/>
  <c r="AA40" i="4"/>
  <c r="Z40" i="4"/>
  <c r="Y40" i="4"/>
  <c r="X40" i="4"/>
  <c r="W40" i="4"/>
  <c r="V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AG39" i="4"/>
  <c r="AG40" i="4" s="1"/>
  <c r="AF39" i="4"/>
  <c r="AF40" i="4" s="1"/>
  <c r="AE39" i="4"/>
  <c r="AE40" i="4" s="1"/>
  <c r="AD39" i="4"/>
  <c r="AD40" i="4" s="1"/>
  <c r="AC39" i="4"/>
  <c r="AC40" i="4" s="1"/>
  <c r="AB39" i="4"/>
  <c r="AK38" i="4" s="1"/>
  <c r="E38" i="4" s="1"/>
  <c r="AA39" i="4"/>
  <c r="Y39" i="4"/>
  <c r="U39" i="4"/>
  <c r="U40" i="4" s="1"/>
  <c r="AL38" i="4"/>
  <c r="AJ35" i="4"/>
  <c r="AI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AK34" i="4"/>
  <c r="E34" i="4"/>
  <c r="AK33" i="4"/>
  <c r="E33" i="4"/>
  <c r="AK32" i="4"/>
  <c r="E32" i="4"/>
  <c r="AK31" i="4"/>
  <c r="E31" i="4"/>
  <c r="AK30" i="4"/>
  <c r="E30" i="4" s="1"/>
  <c r="AK29" i="4"/>
  <c r="E29" i="4"/>
  <c r="AH28" i="4"/>
  <c r="AK28" i="4" s="1"/>
  <c r="E28" i="4" s="1"/>
  <c r="W28" i="4"/>
  <c r="AK27" i="4"/>
  <c r="E27" i="4"/>
  <c r="AH26" i="4"/>
  <c r="AH35" i="4" s="1"/>
  <c r="AG26" i="4"/>
  <c r="AK26" i="4" s="1"/>
  <c r="W26" i="4"/>
  <c r="T26" i="4"/>
  <c r="AL25" i="4"/>
  <c r="AJ22" i="4"/>
  <c r="AI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AH21" i="4"/>
  <c r="AK20" i="4" s="1"/>
  <c r="E20" i="4" s="1"/>
  <c r="AL20" i="4"/>
  <c r="AL15" i="4"/>
  <c r="AK15" i="4"/>
  <c r="E15" i="4" s="1"/>
  <c r="AL10" i="4"/>
  <c r="AK10" i="4"/>
  <c r="E10" i="4"/>
  <c r="AJ49" i="3"/>
  <c r="AI49" i="3"/>
  <c r="AH49" i="3"/>
  <c r="AG49" i="3"/>
  <c r="AF49" i="3"/>
  <c r="AE49" i="3"/>
  <c r="AD49" i="3"/>
  <c r="AB49" i="3"/>
  <c r="AA49" i="3"/>
  <c r="Z49" i="3"/>
  <c r="Y49" i="3"/>
  <c r="X49" i="3"/>
  <c r="W49" i="3"/>
  <c r="U49" i="3"/>
  <c r="T49" i="3"/>
  <c r="S49" i="3"/>
  <c r="R49" i="3"/>
  <c r="Q49" i="3"/>
  <c r="O49" i="3"/>
  <c r="N49" i="3"/>
  <c r="M49" i="3"/>
  <c r="L49" i="3"/>
  <c r="K49" i="3"/>
  <c r="J49" i="3"/>
  <c r="I49" i="3"/>
  <c r="H49" i="3"/>
  <c r="G49" i="3"/>
  <c r="F49" i="3"/>
  <c r="AI48" i="3"/>
  <c r="AC48" i="3"/>
  <c r="V48" i="3"/>
  <c r="AK48" i="3" s="1"/>
  <c r="E48" i="3" s="1"/>
  <c r="AK47" i="3"/>
  <c r="E47" i="3" s="1"/>
  <c r="AK46" i="3"/>
  <c r="E46" i="3"/>
  <c r="AK45" i="3"/>
  <c r="E45" i="3"/>
  <c r="AI44" i="3"/>
  <c r="AC44" i="3"/>
  <c r="AC49" i="3" s="1"/>
  <c r="V44" i="3"/>
  <c r="V49" i="3" s="1"/>
  <c r="AK43" i="3"/>
  <c r="E43" i="3"/>
  <c r="AK42" i="3"/>
  <c r="P42" i="3"/>
  <c r="E42" i="3"/>
  <c r="AK41" i="3"/>
  <c r="E41" i="3"/>
  <c r="P40" i="3"/>
  <c r="AK40" i="3" s="1"/>
  <c r="AL39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AK34" i="3"/>
  <c r="E34" i="3"/>
  <c r="AK33" i="3"/>
  <c r="E33" i="3"/>
  <c r="AK32" i="3"/>
  <c r="E32" i="3"/>
  <c r="AK31" i="3"/>
  <c r="E31" i="3" s="1"/>
  <c r="AK30" i="3"/>
  <c r="E30" i="3"/>
  <c r="AK29" i="3"/>
  <c r="E29" i="3" s="1"/>
  <c r="AK28" i="3"/>
  <c r="E28" i="3"/>
  <c r="AK27" i="3"/>
  <c r="E27" i="3"/>
  <c r="AK26" i="3"/>
  <c r="AK35" i="3" s="1"/>
  <c r="E35" i="3" s="1"/>
  <c r="E26" i="3"/>
  <c r="AL25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AL20" i="3"/>
  <c r="AK20" i="3"/>
  <c r="E20" i="3"/>
  <c r="AL15" i="3"/>
  <c r="AK15" i="3"/>
  <c r="E15" i="3" s="1"/>
  <c r="AI11" i="3"/>
  <c r="AF11" i="3"/>
  <c r="AE11" i="3"/>
  <c r="L11" i="3"/>
  <c r="K11" i="3"/>
  <c r="I11" i="3"/>
  <c r="H11" i="3"/>
  <c r="G11" i="3"/>
  <c r="F11" i="3"/>
  <c r="AK10" i="3" s="1"/>
  <c r="E10" i="3" s="1"/>
  <c r="AL10" i="3"/>
  <c r="AL93" i="2"/>
  <c r="AL88" i="2"/>
  <c r="AK88" i="2"/>
  <c r="E88" i="2" s="1"/>
  <c r="AL83" i="2"/>
  <c r="AK83" i="2"/>
  <c r="E83" i="2"/>
  <c r="AL78" i="2"/>
  <c r="AK78" i="2"/>
  <c r="E78" i="2"/>
  <c r="AL73" i="2"/>
  <c r="AK73" i="2"/>
  <c r="E73" i="2" s="1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AK68" i="2"/>
  <c r="E68" i="2"/>
  <c r="AK67" i="2"/>
  <c r="AK66" i="2"/>
  <c r="AK65" i="2"/>
  <c r="E65" i="2"/>
  <c r="AK64" i="2"/>
  <c r="AK63" i="2"/>
  <c r="E63" i="2" s="1"/>
  <c r="AK62" i="2"/>
  <c r="E62" i="2" s="1"/>
  <c r="AK61" i="2"/>
  <c r="E61" i="2" s="1"/>
  <c r="AK60" i="2"/>
  <c r="E60" i="2"/>
  <c r="AK59" i="2"/>
  <c r="E59" i="2"/>
  <c r="AL58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I41" i="2"/>
  <c r="AK40" i="2"/>
  <c r="E40" i="2" s="1"/>
  <c r="AK39" i="2"/>
  <c r="E39" i="2"/>
  <c r="AK38" i="2"/>
  <c r="E38" i="2"/>
  <c r="AK37" i="2"/>
  <c r="E37" i="2"/>
  <c r="AK36" i="2"/>
  <c r="E36" i="2" s="1"/>
  <c r="AK35" i="2"/>
  <c r="E35" i="2" s="1"/>
  <c r="AK34" i="2"/>
  <c r="E34" i="2" s="1"/>
  <c r="AK33" i="2"/>
  <c r="E33" i="2" s="1"/>
  <c r="F41" i="2"/>
  <c r="L41" i="2"/>
  <c r="K41" i="2"/>
  <c r="J41" i="2"/>
  <c r="H41" i="2"/>
  <c r="G41" i="2"/>
  <c r="AL31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AL26" i="2"/>
  <c r="AK26" i="2"/>
  <c r="E26" i="2" s="1"/>
  <c r="AL20" i="2"/>
  <c r="AL15" i="2"/>
  <c r="AK15" i="2"/>
  <c r="E15" i="2" s="1"/>
  <c r="AL10" i="2"/>
  <c r="AK10" i="2"/>
  <c r="E10" i="2" s="1"/>
  <c r="AL68" i="1"/>
  <c r="AK68" i="1"/>
  <c r="E68" i="1" s="1"/>
  <c r="AL62" i="1"/>
  <c r="AK62" i="1"/>
  <c r="E62" i="1"/>
  <c r="AL57" i="1"/>
  <c r="AK57" i="1"/>
  <c r="E57" i="1"/>
  <c r="AL52" i="1"/>
  <c r="AK52" i="1"/>
  <c r="E52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AK48" i="1"/>
  <c r="E48" i="1"/>
  <c r="AK47" i="1"/>
  <c r="AK46" i="1"/>
  <c r="AK45" i="1"/>
  <c r="AK49" i="1" s="1"/>
  <c r="AK44" i="1"/>
  <c r="E44" i="1" s="1"/>
  <c r="AK43" i="1"/>
  <c r="E43" i="1"/>
  <c r="AK42" i="1"/>
  <c r="E42" i="1" s="1"/>
  <c r="AK41" i="1"/>
  <c r="E41" i="1"/>
  <c r="AK40" i="1"/>
  <c r="E40" i="1"/>
  <c r="AL39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AK34" i="1"/>
  <c r="E34" i="1"/>
  <c r="AK33" i="1"/>
  <c r="E33" i="1"/>
  <c r="AK32" i="1"/>
  <c r="E32" i="1" s="1"/>
  <c r="AK31" i="1"/>
  <c r="E31" i="1"/>
  <c r="AK30" i="1"/>
  <c r="E30" i="1" s="1"/>
  <c r="AK29" i="1"/>
  <c r="E29" i="1"/>
  <c r="AK28" i="1"/>
  <c r="E28" i="1"/>
  <c r="AK27" i="1"/>
  <c r="E27" i="1"/>
  <c r="AK26" i="1"/>
  <c r="E26" i="1" s="1"/>
  <c r="AL25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L20" i="1"/>
  <c r="AK20" i="1"/>
  <c r="E20" i="1" s="1"/>
  <c r="AL15" i="1"/>
  <c r="AK15" i="1"/>
  <c r="E15" i="1"/>
  <c r="AL10" i="1"/>
  <c r="AK10" i="1"/>
  <c r="E10" i="1"/>
  <c r="E69" i="2" l="1"/>
  <c r="AK69" i="2"/>
  <c r="AK54" i="2"/>
  <c r="E54" i="2"/>
  <c r="E26" i="4"/>
  <c r="AK35" i="4"/>
  <c r="E35" i="4" s="1"/>
  <c r="E40" i="3"/>
  <c r="E35" i="1"/>
  <c r="E49" i="1"/>
  <c r="AG35" i="4"/>
  <c r="AB40" i="4"/>
  <c r="AK32" i="2"/>
  <c r="E32" i="2" s="1"/>
  <c r="P49" i="3"/>
  <c r="AH22" i="4"/>
  <c r="AK44" i="3"/>
  <c r="E44" i="3" s="1"/>
  <c r="E41" i="2" l="1"/>
  <c r="AK41" i="2"/>
  <c r="AK49" i="3"/>
  <c r="E49" i="3" s="1"/>
</calcChain>
</file>

<file path=xl/sharedStrings.xml><?xml version="1.0" encoding="utf-8"?>
<sst xmlns="http://schemas.openxmlformats.org/spreadsheetml/2006/main" count="862" uniqueCount="139">
  <si>
    <t>по состоянию на 05.10.2025 г.</t>
  </si>
  <si>
    <t>"Капитальный ремонт и содержание автомобильной дороги общего пользования регионального значения 1167-й км а/д «Вилюй» ­ Мирный – Удачный - Оленек – Саскылах - Юрюнг Хая («Анабар») на участке км 0+000 - км 11+650, 1 этап участок км 7+700 – км 11+650 в рамках контракта жизненного цикла в Мирнинском районе Республики Саха (Якутия)"</t>
  </si>
  <si>
    <t>Месяц</t>
  </si>
  <si>
    <t>ВСЕГО</t>
  </si>
  <si>
    <t>Октябрь</t>
  </si>
  <si>
    <t>дни</t>
  </si>
  <si>
    <t>Объем работ месяц</t>
  </si>
  <si>
    <t>дни недели</t>
  </si>
  <si>
    <t>ПТ</t>
  </si>
  <si>
    <t>СБ</t>
  </si>
  <si>
    <t>ВС</t>
  </si>
  <si>
    <t>ПН</t>
  </si>
  <si>
    <t>ВТ</t>
  </si>
  <si>
    <t>СР</t>
  </si>
  <si>
    <t>ЧТ</t>
  </si>
  <si>
    <t>факт</t>
  </si>
  <si>
    <t>план</t>
  </si>
  <si>
    <t>%</t>
  </si>
  <si>
    <t>УДСК ЛАПЧАН</t>
  </si>
  <si>
    <t>Дробление ЩПС  0/63</t>
  </si>
  <si>
    <t>Адрес</t>
  </si>
  <si>
    <t>1,2 смены</t>
  </si>
  <si>
    <t>м3</t>
  </si>
  <si>
    <t>факт
(накоп)</t>
  </si>
  <si>
    <t>Остаток</t>
  </si>
  <si>
    <t>Дробление ЩПС  0/31,5</t>
  </si>
  <si>
    <t>Дробление ЩПС 0/16</t>
  </si>
  <si>
    <t>Дробление фр.щебня</t>
  </si>
  <si>
    <t>Дробление фракционированного щебня 0-4, 4-8, 8-11, 11-16</t>
  </si>
  <si>
    <t>фр.0-4</t>
  </si>
  <si>
    <t>фр.4-8</t>
  </si>
  <si>
    <t>фр.8-11</t>
  </si>
  <si>
    <t>фр.11-16</t>
  </si>
  <si>
    <t>фр.0-11</t>
  </si>
  <si>
    <t>фр.8-20</t>
  </si>
  <si>
    <t>фр.22-32</t>
  </si>
  <si>
    <t>фр.8-16</t>
  </si>
  <si>
    <t>фр.16-31,5</t>
  </si>
  <si>
    <t>Всего</t>
  </si>
  <si>
    <t>УДСК АБЗ</t>
  </si>
  <si>
    <t>фр.0-16</t>
  </si>
  <si>
    <t>Отгружено АТМ УКС ЩПС 0/63</t>
  </si>
  <si>
    <t>т</t>
  </si>
  <si>
    <t>Отгружено УКПГ СБНГКМ 0/63</t>
  </si>
  <si>
    <t>Отгружено Айхал центр на АБЗ 11-16</t>
  </si>
  <si>
    <t>Отгружено ВГРЭ</t>
  </si>
  <si>
    <t>Май</t>
  </si>
  <si>
    <t>Дробление фр. 0/100</t>
  </si>
  <si>
    <t>УДСК МИРНЫЙ</t>
  </si>
  <si>
    <t>фр.16-22</t>
  </si>
  <si>
    <t>Отгружено 0-63 на МДУ</t>
  </si>
  <si>
    <t>Отгружено  Ду-8 Маркока фр.4-8</t>
  </si>
  <si>
    <t>Отгружено  Сунтаравтодор фр.180-200</t>
  </si>
  <si>
    <t>Отгружено  Сунтаравтодор скальный грунт</t>
  </si>
  <si>
    <t>Отгружено  0-63 Артик ПРО</t>
  </si>
  <si>
    <t>по состоянию на 30.04.2025 г.</t>
  </si>
  <si>
    <t>Апрель</t>
  </si>
  <si>
    <t>ремонт</t>
  </si>
  <si>
    <t>погода</t>
  </si>
  <si>
    <t>ремонт ковша экскаватора</t>
  </si>
  <si>
    <t>нет БВР, сбор камня</t>
  </si>
  <si>
    <t>БВР</t>
  </si>
  <si>
    <t>Работа по устранению замечаний  СПБ</t>
  </si>
  <si>
    <t xml:space="preserve"> ремонт</t>
  </si>
  <si>
    <t>Ремонт ДЭС (ЦДУ)</t>
  </si>
  <si>
    <t>нет погрузчика</t>
  </si>
  <si>
    <t>отсутствие погрузчика</t>
  </si>
  <si>
    <t>по состоянию на 29.05.2025 г.</t>
  </si>
  <si>
    <t>Вывоз ЩПС  0/63</t>
  </si>
  <si>
    <t>Вывоз ЩПС  0/31,5</t>
  </si>
  <si>
    <t>Вывоз ЩПС 0/16</t>
  </si>
  <si>
    <t>Вывоз фр.щебня</t>
  </si>
  <si>
    <t>Вывоз скального грунта</t>
  </si>
  <si>
    <t>Вывоз скального грунта на МДУ</t>
  </si>
  <si>
    <t>Тяжелая техника</t>
  </si>
  <si>
    <t>№</t>
  </si>
  <si>
    <t>Наименование</t>
  </si>
  <si>
    <t>Марка</t>
  </si>
  <si>
    <t>Гос.№</t>
  </si>
  <si>
    <t>Примечание</t>
  </si>
  <si>
    <t>Бульдозеры</t>
  </si>
  <si>
    <t>Liebherr 734</t>
  </si>
  <si>
    <t>5543ро</t>
  </si>
  <si>
    <t>5544ро</t>
  </si>
  <si>
    <t>5545ро</t>
  </si>
  <si>
    <t>5546ро</t>
  </si>
  <si>
    <t>СAT D9R</t>
  </si>
  <si>
    <t>2163рк</t>
  </si>
  <si>
    <t>D-275</t>
  </si>
  <si>
    <t>D-65</t>
  </si>
  <si>
    <t>1812ра</t>
  </si>
  <si>
    <t>1813ра</t>
  </si>
  <si>
    <t>Komatsu D355</t>
  </si>
  <si>
    <t>4467ра</t>
  </si>
  <si>
    <t>Экскаваторы</t>
  </si>
  <si>
    <t>СAT 336</t>
  </si>
  <si>
    <t>2161рк</t>
  </si>
  <si>
    <t>СAT 323</t>
  </si>
  <si>
    <t>TEREX 300</t>
  </si>
  <si>
    <t>1713ро</t>
  </si>
  <si>
    <t>TEREX 220</t>
  </si>
  <si>
    <t>8816ро</t>
  </si>
  <si>
    <t>Катки</t>
  </si>
  <si>
    <t>Bomag</t>
  </si>
  <si>
    <t xml:space="preserve"> BW-226</t>
  </si>
  <si>
    <t xml:space="preserve"> BW-120</t>
  </si>
  <si>
    <t xml:space="preserve"> BW-190</t>
  </si>
  <si>
    <t>DM-58</t>
  </si>
  <si>
    <t>RV-21DT</t>
  </si>
  <si>
    <t>1238ро</t>
  </si>
  <si>
    <t>Погрузчики</t>
  </si>
  <si>
    <t>ДЗ-98</t>
  </si>
  <si>
    <t>L-534</t>
  </si>
  <si>
    <t>5815ра</t>
  </si>
  <si>
    <t>5816ра</t>
  </si>
  <si>
    <t>Наемные</t>
  </si>
  <si>
    <t xml:space="preserve">каток </t>
  </si>
  <si>
    <t xml:space="preserve">XCMG </t>
  </si>
  <si>
    <t>ООО "Арктик-ПРО"</t>
  </si>
  <si>
    <t>DOOSAN DX340LCA</t>
  </si>
  <si>
    <t>бульдозер</t>
  </si>
  <si>
    <t>D-355</t>
  </si>
  <si>
    <t>Стройэнергоцентр</t>
  </si>
  <si>
    <t>Дробление фр.щебня Дробмаш</t>
  </si>
  <si>
    <t>Дробление фр.щебня Локотрак</t>
  </si>
  <si>
    <t>фр.120-150</t>
  </si>
  <si>
    <t>фр.4-11</t>
  </si>
  <si>
    <t>0-31,5</t>
  </si>
  <si>
    <t>31,5-63</t>
  </si>
  <si>
    <t>Дробление щебень фр. 0-31,5 / 31,5-63</t>
  </si>
  <si>
    <t>ЩПС 0/63</t>
  </si>
  <si>
    <t>Июль</t>
  </si>
  <si>
    <t>фр.16-32</t>
  </si>
  <si>
    <t>по состоянию на 31.07.2026 г.</t>
  </si>
  <si>
    <t>Отгружено  0-63 в накопитель(км1182)</t>
  </si>
  <si>
    <t>Отгружено  0-16 в накопитель(км1182)</t>
  </si>
  <si>
    <t>Отгружено  31,5-63 в накопитель(км1182)</t>
  </si>
  <si>
    <t>Сентябрь</t>
  </si>
  <si>
    <t>по состоянию на 21.09.2026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</si>
</sst>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u/>
      <sz val="11"/>
      <color theme="1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u/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u/>
      <sz val="16"/>
      <color indexed="2"/>
      <name val="Times New Roman"/>
      <family val="1"/>
      <charset val="204"/>
    </font>
    <font>
      <u/>
      <sz val="16"/>
      <color indexed="2"/>
      <name val="Times New Roman"/>
      <family val="1"/>
      <charset val="204"/>
    </font>
    <font>
      <u/>
      <sz val="18"/>
      <color indexed="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i/>
      <u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0"/>
        <bgColor theme="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7" fillId="0" borderId="0"/>
    <xf numFmtId="0" fontId="1" fillId="0" borderId="0"/>
  </cellStyleXfs>
  <cellXfs count="182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2" applyFont="1"/>
    <xf numFmtId="0" fontId="7" fillId="0" borderId="0" xfId="2" applyFont="1"/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center" vertical="center" wrapText="1"/>
    </xf>
    <xf numFmtId="0" fontId="11" fillId="5" borderId="31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3" fontId="11" fillId="5" borderId="34" xfId="0" applyNumberFormat="1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3" fontId="13" fillId="0" borderId="23" xfId="0" applyNumberFormat="1" applyFont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top" wrapText="1"/>
    </xf>
    <xf numFmtId="0" fontId="8" fillId="0" borderId="39" xfId="0" applyFont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 wrapText="1"/>
    </xf>
    <xf numFmtId="1" fontId="8" fillId="0" borderId="3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3" fontId="11" fillId="2" borderId="33" xfId="0" applyNumberFormat="1" applyFont="1" applyFill="1" applyBorder="1" applyAlignment="1">
      <alignment horizontal="center" vertical="center"/>
    </xf>
    <xf numFmtId="3" fontId="8" fillId="5" borderId="28" xfId="0" applyNumberFormat="1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1" fontId="8" fillId="5" borderId="28" xfId="0" applyNumberFormat="1" applyFont="1" applyFill="1" applyBorder="1" applyAlignment="1">
      <alignment horizontal="center" vertical="center" wrapText="1"/>
    </xf>
    <xf numFmtId="3" fontId="11" fillId="5" borderId="23" xfId="0" applyNumberFormat="1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3" fontId="13" fillId="0" borderId="38" xfId="0" applyNumberFormat="1" applyFont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/>
    </xf>
    <xf numFmtId="3" fontId="11" fillId="5" borderId="11" xfId="0" applyNumberFormat="1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  <xf numFmtId="0" fontId="11" fillId="5" borderId="44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8" fillId="5" borderId="45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5" borderId="11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0" borderId="47" xfId="0" applyFont="1" applyBorder="1" applyAlignment="1">
      <alignment horizontal="center"/>
    </xf>
    <xf numFmtId="0" fontId="14" fillId="0" borderId="38" xfId="0" applyFont="1" applyBorder="1" applyAlignment="1">
      <alignment horizontal="center"/>
    </xf>
    <xf numFmtId="0" fontId="15" fillId="5" borderId="11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 wrapText="1"/>
    </xf>
    <xf numFmtId="0" fontId="0" fillId="0" borderId="11" xfId="0" applyBorder="1"/>
    <xf numFmtId="0" fontId="15" fillId="5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11" xfId="0" applyFont="1" applyBorder="1" applyAlignment="1">
      <alignment horizontal="center" wrapText="1"/>
    </xf>
    <xf numFmtId="0" fontId="18" fillId="5" borderId="28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3" fontId="8" fillId="2" borderId="37" xfId="0" applyNumberFormat="1" applyFont="1" applyFill="1" applyBorder="1" applyAlignment="1">
      <alignment vertical="center"/>
    </xf>
    <xf numFmtId="3" fontId="8" fillId="2" borderId="41" xfId="0" applyNumberFormat="1" applyFont="1" applyFill="1" applyBorder="1" applyAlignment="1">
      <alignment vertical="center"/>
    </xf>
    <xf numFmtId="3" fontId="8" fillId="5" borderId="11" xfId="0" applyNumberFormat="1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3" fontId="8" fillId="5" borderId="23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3" fontId="8" fillId="2" borderId="37" xfId="0" applyNumberFormat="1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3" fontId="11" fillId="2" borderId="4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3" fontId="8" fillId="2" borderId="33" xfId="0" applyNumberFormat="1" applyFont="1" applyFill="1" applyBorder="1" applyAlignment="1">
      <alignment horizontal="center" vertical="center"/>
    </xf>
    <xf numFmtId="3" fontId="8" fillId="2" borderId="37" xfId="0" applyNumberFormat="1" applyFont="1" applyFill="1" applyBorder="1" applyAlignment="1">
      <alignment horizontal="center" vertical="center"/>
    </xf>
    <xf numFmtId="3" fontId="8" fillId="5" borderId="35" xfId="0" applyNumberFormat="1" applyFont="1" applyFill="1" applyBorder="1" applyAlignment="1">
      <alignment horizontal="center" vertical="center"/>
    </xf>
    <xf numFmtId="3" fontId="8" fillId="5" borderId="31" xfId="0" applyNumberFormat="1" applyFont="1" applyFill="1" applyBorder="1" applyAlignment="1">
      <alignment horizontal="center" vertical="center"/>
    </xf>
    <xf numFmtId="3" fontId="8" fillId="0" borderId="35" xfId="0" applyNumberFormat="1" applyFont="1" applyBorder="1" applyAlignment="1">
      <alignment horizontal="center" vertical="center"/>
    </xf>
    <xf numFmtId="3" fontId="8" fillId="0" borderId="31" xfId="0" applyNumberFormat="1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11" fillId="0" borderId="49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/>
    </xf>
    <xf numFmtId="3" fontId="8" fillId="0" borderId="4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4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/>
    </xf>
    <xf numFmtId="0" fontId="11" fillId="2" borderId="48" xfId="0" applyFont="1" applyFill="1" applyBorder="1" applyAlignment="1">
      <alignment horizontal="center"/>
    </xf>
    <xf numFmtId="0" fontId="11" fillId="2" borderId="38" xfId="0" applyFont="1" applyFill="1" applyBorder="1" applyAlignment="1">
      <alignment horizontal="center"/>
    </xf>
    <xf numFmtId="0" fontId="11" fillId="0" borderId="46" xfId="0" applyFont="1" applyBorder="1" applyAlignment="1">
      <alignment horizontal="center"/>
    </xf>
  </cellXfs>
  <cellStyles count="3">
    <cellStyle name="Обычный" xfId="0" builtinId="0"/>
    <cellStyle name="Обычный 2" xfId="1" xr:uid="{00000000-0005-0000-0000-000001000000}"/>
    <cellStyle name="Открывавшаяся гиперссылка" xfId="2" builtin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>
    <pageSetUpPr fitToPage="1"/>
  </sheetPr>
  <dimension ref="A2:BR70"/>
  <sheetViews>
    <sheetView view="pageBreakPreview" topLeftCell="B1" zoomScale="55" workbookViewId="0">
      <pane ySplit="6" topLeftCell="A7" activePane="bottomLeft" state="frozen"/>
      <selection activeCell="AB11" sqref="AB11"/>
      <selection pane="bottomLeft" activeCell="B1" sqref="B1"/>
    </sheetView>
  </sheetViews>
  <sheetFormatPr defaultRowHeight="15" customHeight="1" x14ac:dyDescent="0.25"/>
  <cols>
    <col min="1" max="1" width="10.5703125" style="1" hidden="1" customWidth="1"/>
    <col min="2" max="2" width="9.42578125" style="1" customWidth="1"/>
    <col min="3" max="3" width="14.140625" style="1" customWidth="1"/>
    <col min="4" max="4" width="7.140625" style="1" customWidth="1"/>
    <col min="5" max="5" width="10.85546875" style="1" customWidth="1"/>
    <col min="6" max="7" width="10.28515625" style="1" customWidth="1"/>
    <col min="8" max="8" width="12.140625" style="1" customWidth="1"/>
    <col min="9" max="10" width="10.28515625" style="1" customWidth="1"/>
    <col min="11" max="11" width="11.5703125" style="1" customWidth="1"/>
    <col min="12" max="34" width="10.28515625" style="1" customWidth="1"/>
    <col min="35" max="37" width="10.5703125" style="1" customWidth="1"/>
    <col min="38" max="38" width="10.7109375" style="1" customWidth="1"/>
    <col min="39" max="39" width="11.7109375" style="1" customWidth="1"/>
    <col min="40" max="16384" width="9.140625" style="1"/>
  </cols>
  <sheetData>
    <row r="2" spans="1:70" s="2" customFormat="1" ht="30" customHeight="1" x14ac:dyDescent="0.3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4"/>
      <c r="AB2" s="4"/>
      <c r="AC2" s="4"/>
      <c r="AD2" s="4"/>
      <c r="AE2" s="4"/>
      <c r="AF2" s="4"/>
      <c r="AG2" s="4"/>
      <c r="AH2" s="124" t="s">
        <v>0</v>
      </c>
      <c r="AI2" s="124"/>
      <c r="AJ2" s="124"/>
      <c r="AK2" s="124"/>
      <c r="AL2" s="124"/>
      <c r="AM2" s="124"/>
      <c r="AN2" s="5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4"/>
      <c r="BO2" s="4"/>
      <c r="BP2" s="4"/>
      <c r="BQ2" s="4"/>
      <c r="BR2" s="4"/>
    </row>
    <row r="3" spans="1:70" s="2" customFormat="1" ht="50.25" customHeight="1" x14ac:dyDescent="0.25">
      <c r="A3" s="7"/>
      <c r="B3" s="125" t="s">
        <v>1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8"/>
    </row>
    <row r="4" spans="1:70" s="2" customFormat="1" ht="30" customHeight="1" x14ac:dyDescent="0.25">
      <c r="A4" s="9"/>
      <c r="B4" s="126" t="s">
        <v>2</v>
      </c>
      <c r="C4" s="127"/>
      <c r="D4" s="128"/>
      <c r="E4" s="129" t="s">
        <v>3</v>
      </c>
      <c r="F4" s="132" t="s">
        <v>4</v>
      </c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3"/>
      <c r="AN4" s="12"/>
    </row>
    <row r="5" spans="1:70" s="13" customFormat="1" ht="15" customHeight="1" x14ac:dyDescent="0.25">
      <c r="A5" s="14"/>
      <c r="B5" s="134" t="s">
        <v>5</v>
      </c>
      <c r="C5" s="135"/>
      <c r="D5" s="136"/>
      <c r="E5" s="130"/>
      <c r="F5" s="18">
        <v>1</v>
      </c>
      <c r="G5" s="19">
        <v>2</v>
      </c>
      <c r="H5" s="19">
        <v>3</v>
      </c>
      <c r="I5" s="19">
        <v>4</v>
      </c>
      <c r="J5" s="19">
        <v>5</v>
      </c>
      <c r="K5" s="19">
        <v>6</v>
      </c>
      <c r="L5" s="19">
        <v>7</v>
      </c>
      <c r="M5" s="19">
        <v>8</v>
      </c>
      <c r="N5" s="19">
        <v>9</v>
      </c>
      <c r="O5" s="19">
        <v>10</v>
      </c>
      <c r="P5" s="19">
        <v>11</v>
      </c>
      <c r="Q5" s="19">
        <v>12</v>
      </c>
      <c r="R5" s="19">
        <v>13</v>
      </c>
      <c r="S5" s="19">
        <v>14</v>
      </c>
      <c r="T5" s="19">
        <v>15</v>
      </c>
      <c r="U5" s="19">
        <v>16</v>
      </c>
      <c r="V5" s="19">
        <v>17</v>
      </c>
      <c r="W5" s="19">
        <v>18</v>
      </c>
      <c r="X5" s="19">
        <v>19</v>
      </c>
      <c r="Y5" s="19">
        <v>20</v>
      </c>
      <c r="Z5" s="19">
        <v>21</v>
      </c>
      <c r="AA5" s="19">
        <v>22</v>
      </c>
      <c r="AB5" s="19">
        <v>23</v>
      </c>
      <c r="AC5" s="19">
        <v>24</v>
      </c>
      <c r="AD5" s="19">
        <v>25</v>
      </c>
      <c r="AE5" s="19">
        <v>26</v>
      </c>
      <c r="AF5" s="19">
        <v>27</v>
      </c>
      <c r="AG5" s="20">
        <v>28</v>
      </c>
      <c r="AH5" s="19">
        <v>29</v>
      </c>
      <c r="AI5" s="20">
        <v>30</v>
      </c>
      <c r="AJ5" s="20">
        <v>31</v>
      </c>
      <c r="AK5" s="137" t="s">
        <v>6</v>
      </c>
      <c r="AL5" s="137"/>
      <c r="AM5" s="138"/>
      <c r="AN5" s="21"/>
    </row>
    <row r="6" spans="1:70" s="13" customFormat="1" ht="18.75" x14ac:dyDescent="0.25">
      <c r="A6" s="22"/>
      <c r="B6" s="139" t="s">
        <v>7</v>
      </c>
      <c r="C6" s="140"/>
      <c r="D6" s="141"/>
      <c r="E6" s="131"/>
      <c r="F6" s="26" t="s">
        <v>8</v>
      </c>
      <c r="G6" s="26" t="s">
        <v>9</v>
      </c>
      <c r="H6" s="26" t="s">
        <v>10</v>
      </c>
      <c r="I6" s="26" t="s">
        <v>11</v>
      </c>
      <c r="J6" s="26" t="s">
        <v>12</v>
      </c>
      <c r="K6" s="26" t="s">
        <v>13</v>
      </c>
      <c r="L6" s="26" t="s">
        <v>14</v>
      </c>
      <c r="M6" s="26" t="s">
        <v>8</v>
      </c>
      <c r="N6" s="26" t="s">
        <v>9</v>
      </c>
      <c r="O6" s="26" t="s">
        <v>10</v>
      </c>
      <c r="P6" s="26" t="s">
        <v>11</v>
      </c>
      <c r="Q6" s="26" t="s">
        <v>12</v>
      </c>
      <c r="R6" s="26" t="s">
        <v>13</v>
      </c>
      <c r="S6" s="26" t="s">
        <v>14</v>
      </c>
      <c r="T6" s="26" t="s">
        <v>8</v>
      </c>
      <c r="U6" s="26" t="s">
        <v>9</v>
      </c>
      <c r="V6" s="26" t="s">
        <v>10</v>
      </c>
      <c r="W6" s="26" t="s">
        <v>11</v>
      </c>
      <c r="X6" s="26" t="s">
        <v>12</v>
      </c>
      <c r="Y6" s="26" t="s">
        <v>13</v>
      </c>
      <c r="Z6" s="26" t="s">
        <v>14</v>
      </c>
      <c r="AA6" s="26" t="s">
        <v>8</v>
      </c>
      <c r="AB6" s="26" t="s">
        <v>9</v>
      </c>
      <c r="AC6" s="26" t="s">
        <v>10</v>
      </c>
      <c r="AD6" s="26" t="s">
        <v>11</v>
      </c>
      <c r="AE6" s="26" t="s">
        <v>12</v>
      </c>
      <c r="AF6" s="26" t="s">
        <v>13</v>
      </c>
      <c r="AG6" s="26" t="s">
        <v>14</v>
      </c>
      <c r="AH6" s="26" t="s">
        <v>8</v>
      </c>
      <c r="AI6" s="26" t="s">
        <v>9</v>
      </c>
      <c r="AJ6" s="26" t="s">
        <v>10</v>
      </c>
      <c r="AK6" s="27" t="s">
        <v>15</v>
      </c>
      <c r="AL6" s="28" t="s">
        <v>16</v>
      </c>
      <c r="AM6" s="29" t="s">
        <v>17</v>
      </c>
      <c r="AN6" s="21"/>
    </row>
    <row r="7" spans="1:70" s="13" customFormat="1" ht="20.25" x14ac:dyDescent="0.25">
      <c r="A7" s="30"/>
      <c r="B7" s="142" t="s">
        <v>18</v>
      </c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4"/>
      <c r="AN7" s="21"/>
    </row>
    <row r="8" spans="1:70" ht="20.25" x14ac:dyDescent="0.25">
      <c r="B8" s="145" t="s">
        <v>19</v>
      </c>
      <c r="C8" s="146"/>
      <c r="D8" s="146"/>
      <c r="E8" s="146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8"/>
    </row>
    <row r="9" spans="1:70" ht="18.75" x14ac:dyDescent="0.25">
      <c r="B9" s="149" t="s">
        <v>20</v>
      </c>
      <c r="C9" s="150"/>
      <c r="D9" s="31"/>
      <c r="E9" s="32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4"/>
      <c r="AK9" s="35"/>
      <c r="AL9" s="36"/>
      <c r="AM9" s="31"/>
    </row>
    <row r="10" spans="1:70" ht="18.75" x14ac:dyDescent="0.25">
      <c r="B10" s="151" t="s">
        <v>21</v>
      </c>
      <c r="C10" s="16" t="s">
        <v>16</v>
      </c>
      <c r="D10" s="153" t="s">
        <v>22</v>
      </c>
      <c r="E10" s="155">
        <f>11449+7530+AK10+3036</f>
        <v>22917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157">
        <f>SUM(F11:AJ11)</f>
        <v>902</v>
      </c>
      <c r="AL10" s="159">
        <f>SUM(F10:AJ10)</f>
        <v>0</v>
      </c>
      <c r="AM10" s="38"/>
    </row>
    <row r="11" spans="1:70" ht="18.75" x14ac:dyDescent="0.25">
      <c r="B11" s="152"/>
      <c r="C11" s="16" t="s">
        <v>23</v>
      </c>
      <c r="D11" s="154"/>
      <c r="E11" s="156"/>
      <c r="F11" s="39">
        <v>200</v>
      </c>
      <c r="G11" s="40">
        <v>130</v>
      </c>
      <c r="H11" s="40">
        <v>240</v>
      </c>
      <c r="I11" s="40">
        <v>120</v>
      </c>
      <c r="J11" s="40">
        <v>212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16"/>
      <c r="AI11" s="16"/>
      <c r="AJ11" s="16"/>
      <c r="AK11" s="158"/>
      <c r="AL11" s="160"/>
      <c r="AM11" s="31"/>
    </row>
    <row r="12" spans="1:70" ht="18.75" x14ac:dyDescent="0.25">
      <c r="B12" s="41" t="s">
        <v>17</v>
      </c>
      <c r="C12" s="42" t="s">
        <v>24</v>
      </c>
      <c r="D12" s="29" t="s">
        <v>22</v>
      </c>
      <c r="E12" s="43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5"/>
      <c r="AL12" s="46"/>
      <c r="AM12" s="38"/>
    </row>
    <row r="13" spans="1:70" ht="20.25" x14ac:dyDescent="0.25">
      <c r="B13" s="145" t="s">
        <v>25</v>
      </c>
      <c r="C13" s="146"/>
      <c r="D13" s="146"/>
      <c r="E13" s="146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8"/>
    </row>
    <row r="14" spans="1:70" ht="18.75" x14ac:dyDescent="0.25">
      <c r="B14" s="149" t="s">
        <v>20</v>
      </c>
      <c r="C14" s="150"/>
      <c r="D14" s="31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4"/>
      <c r="AJ14" s="34"/>
      <c r="AK14" s="35"/>
      <c r="AL14" s="36"/>
      <c r="AM14" s="31"/>
    </row>
    <row r="15" spans="1:70" ht="18.75" x14ac:dyDescent="0.25">
      <c r="B15" s="151" t="s">
        <v>21</v>
      </c>
      <c r="C15" s="16" t="s">
        <v>16</v>
      </c>
      <c r="D15" s="153" t="s">
        <v>22</v>
      </c>
      <c r="E15" s="155">
        <f>AK15</f>
        <v>0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157">
        <f>SUM(F16:AJ16)</f>
        <v>0</v>
      </c>
      <c r="AL15" s="159">
        <f>SUM(F15:AJ15)</f>
        <v>0</v>
      </c>
      <c r="AM15" s="38"/>
    </row>
    <row r="16" spans="1:70" ht="18.75" x14ac:dyDescent="0.25">
      <c r="B16" s="152"/>
      <c r="C16" s="16" t="s">
        <v>23</v>
      </c>
      <c r="D16" s="154"/>
      <c r="E16" s="156"/>
      <c r="F16" s="39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158"/>
      <c r="AL16" s="160"/>
      <c r="AM16" s="31"/>
    </row>
    <row r="17" spans="2:39" ht="18.75" x14ac:dyDescent="0.25">
      <c r="B17" s="41" t="s">
        <v>17</v>
      </c>
      <c r="C17" s="42" t="s">
        <v>24</v>
      </c>
      <c r="D17" s="29" t="s">
        <v>22</v>
      </c>
      <c r="E17" s="43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5"/>
      <c r="AL17" s="46"/>
      <c r="AM17" s="38"/>
    </row>
    <row r="18" spans="2:39" ht="20.25" x14ac:dyDescent="0.25">
      <c r="B18" s="145" t="s">
        <v>26</v>
      </c>
      <c r="C18" s="146"/>
      <c r="D18" s="146"/>
      <c r="E18" s="146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8"/>
    </row>
    <row r="19" spans="2:39" ht="18.75" x14ac:dyDescent="0.25">
      <c r="B19" s="149" t="s">
        <v>20</v>
      </c>
      <c r="C19" s="150"/>
      <c r="D19" s="31"/>
      <c r="E19" s="32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4"/>
      <c r="AJ19" s="34"/>
      <c r="AK19" s="35"/>
      <c r="AL19" s="36"/>
      <c r="AM19" s="31"/>
    </row>
    <row r="20" spans="2:39" ht="18.75" x14ac:dyDescent="0.25">
      <c r="B20" s="151" t="s">
        <v>21</v>
      </c>
      <c r="C20" s="16" t="s">
        <v>16</v>
      </c>
      <c r="D20" s="153" t="s">
        <v>22</v>
      </c>
      <c r="E20" s="155">
        <f>AK20+1812</f>
        <v>1812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157">
        <f>SUM(F21:AJ21)</f>
        <v>0</v>
      </c>
      <c r="AL20" s="159">
        <f>SUM(F20:AJ20)</f>
        <v>0</v>
      </c>
      <c r="AM20" s="38"/>
    </row>
    <row r="21" spans="2:39" ht="18.75" x14ac:dyDescent="0.25">
      <c r="B21" s="152"/>
      <c r="C21" s="16" t="s">
        <v>23</v>
      </c>
      <c r="D21" s="154"/>
      <c r="E21" s="156"/>
      <c r="F21" s="39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158"/>
      <c r="AL21" s="160"/>
      <c r="AM21" s="31"/>
    </row>
    <row r="22" spans="2:39" ht="18.75" x14ac:dyDescent="0.25">
      <c r="B22" s="41" t="s">
        <v>17</v>
      </c>
      <c r="C22" s="42" t="s">
        <v>24</v>
      </c>
      <c r="D22" s="29" t="s">
        <v>22</v>
      </c>
      <c r="E22" s="43"/>
      <c r="F22" s="34">
        <f t="shared" ref="F22:AI22" si="0">SUM(F19:F21)</f>
        <v>0</v>
      </c>
      <c r="G22" s="34">
        <f t="shared" si="0"/>
        <v>0</v>
      </c>
      <c r="H22" s="34">
        <f t="shared" si="0"/>
        <v>0</v>
      </c>
      <c r="I22" s="34">
        <f t="shared" si="0"/>
        <v>0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47">
        <f t="shared" si="0"/>
        <v>0</v>
      </c>
      <c r="N22" s="34">
        <f t="shared" si="0"/>
        <v>0</v>
      </c>
      <c r="O22" s="34">
        <f t="shared" si="0"/>
        <v>0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>
        <f t="shared" si="0"/>
        <v>0</v>
      </c>
      <c r="U22" s="34">
        <f t="shared" si="0"/>
        <v>0</v>
      </c>
      <c r="V22" s="34">
        <f t="shared" si="0"/>
        <v>0</v>
      </c>
      <c r="W22" s="34">
        <f t="shared" si="0"/>
        <v>0</v>
      </c>
      <c r="X22" s="34">
        <f t="shared" si="0"/>
        <v>0</v>
      </c>
      <c r="Y22" s="34">
        <f t="shared" si="0"/>
        <v>0</v>
      </c>
      <c r="Z22" s="34">
        <f t="shared" si="0"/>
        <v>0</v>
      </c>
      <c r="AA22" s="34">
        <f t="shared" si="0"/>
        <v>0</v>
      </c>
      <c r="AB22" s="34">
        <f t="shared" si="0"/>
        <v>0</v>
      </c>
      <c r="AC22" s="34">
        <f t="shared" si="0"/>
        <v>0</v>
      </c>
      <c r="AD22" s="34">
        <f t="shared" si="0"/>
        <v>0</v>
      </c>
      <c r="AE22" s="34">
        <f t="shared" si="0"/>
        <v>0</v>
      </c>
      <c r="AF22" s="34">
        <f t="shared" si="0"/>
        <v>0</v>
      </c>
      <c r="AG22" s="34">
        <f t="shared" si="0"/>
        <v>0</v>
      </c>
      <c r="AH22" s="34">
        <f t="shared" si="0"/>
        <v>0</v>
      </c>
      <c r="AI22" s="34">
        <f t="shared" si="0"/>
        <v>0</v>
      </c>
      <c r="AJ22" s="34">
        <f>SUM(AJ19:AJ21)</f>
        <v>0</v>
      </c>
      <c r="AK22" s="45"/>
      <c r="AL22" s="46"/>
      <c r="AM22" s="38"/>
    </row>
    <row r="23" spans="2:39" ht="20.25" x14ac:dyDescent="0.25">
      <c r="B23" s="145" t="s">
        <v>27</v>
      </c>
      <c r="C23" s="146"/>
      <c r="D23" s="146"/>
      <c r="E23" s="146" t="s">
        <v>28</v>
      </c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8"/>
    </row>
    <row r="24" spans="2:39" ht="39.75" customHeight="1" x14ac:dyDescent="0.25">
      <c r="B24" s="149" t="s">
        <v>20</v>
      </c>
      <c r="C24" s="150"/>
      <c r="D24" s="31"/>
      <c r="E24" s="43"/>
      <c r="F24" s="33"/>
      <c r="G24" s="33"/>
      <c r="H24" s="48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4"/>
      <c r="AJ24" s="34"/>
      <c r="AK24" s="35"/>
      <c r="AL24" s="36"/>
      <c r="AM24" s="31"/>
    </row>
    <row r="25" spans="2:39" ht="18.75" x14ac:dyDescent="0.25">
      <c r="B25" s="30"/>
      <c r="C25" s="16" t="s">
        <v>16</v>
      </c>
      <c r="D25" s="49" t="s">
        <v>22</v>
      </c>
      <c r="E25" s="43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35"/>
      <c r="AL25" s="51">
        <f>SUM(F25:AJ25)</f>
        <v>0</v>
      </c>
      <c r="AM25" s="31"/>
    </row>
    <row r="26" spans="2:39" ht="18.75" x14ac:dyDescent="0.25">
      <c r="B26" s="161" t="s">
        <v>21</v>
      </c>
      <c r="C26" s="52" t="s">
        <v>29</v>
      </c>
      <c r="D26" s="164" t="s">
        <v>22</v>
      </c>
      <c r="E26" s="53">
        <f>3690+AK26+70+810</f>
        <v>4570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16"/>
      <c r="W26" s="16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4"/>
      <c r="AJ26" s="34"/>
      <c r="AK26" s="54">
        <f t="shared" ref="AK26:AK34" si="1">SUM(F26:AJ26)</f>
        <v>0</v>
      </c>
      <c r="AL26" s="36"/>
      <c r="AM26" s="31"/>
    </row>
    <row r="27" spans="2:39" ht="18.75" x14ac:dyDescent="0.25">
      <c r="B27" s="162"/>
      <c r="C27" s="52" t="s">
        <v>30</v>
      </c>
      <c r="D27" s="165"/>
      <c r="E27" s="53">
        <f>2312+AK27+45+406</f>
        <v>2763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16"/>
      <c r="W27" s="16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4"/>
      <c r="AJ27" s="34"/>
      <c r="AK27" s="54">
        <f t="shared" si="1"/>
        <v>0</v>
      </c>
      <c r="AL27" s="36"/>
      <c r="AM27" s="31"/>
    </row>
    <row r="28" spans="2:39" ht="18.75" x14ac:dyDescent="0.25">
      <c r="B28" s="162"/>
      <c r="C28" s="52" t="s">
        <v>31</v>
      </c>
      <c r="D28" s="165"/>
      <c r="E28" s="53">
        <f>2292+AK28+45+406</f>
        <v>2743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16"/>
      <c r="W28" s="16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4"/>
      <c r="AJ28" s="34"/>
      <c r="AK28" s="54">
        <f t="shared" si="1"/>
        <v>0</v>
      </c>
      <c r="AL28" s="36"/>
      <c r="AM28" s="31"/>
    </row>
    <row r="29" spans="2:39" ht="18.75" x14ac:dyDescent="0.25">
      <c r="B29" s="162"/>
      <c r="C29" s="52" t="s">
        <v>32</v>
      </c>
      <c r="D29" s="165"/>
      <c r="E29" s="53">
        <f>4990+AK29+100+1080</f>
        <v>6170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16"/>
      <c r="W29" s="16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4"/>
      <c r="AJ29" s="34"/>
      <c r="AK29" s="54">
        <f t="shared" si="1"/>
        <v>0</v>
      </c>
      <c r="AL29" s="36"/>
      <c r="AM29" s="31"/>
    </row>
    <row r="30" spans="2:39" ht="18.75" hidden="1" x14ac:dyDescent="0.25">
      <c r="B30" s="162"/>
      <c r="C30" s="52" t="s">
        <v>33</v>
      </c>
      <c r="D30" s="165"/>
      <c r="E30" s="53">
        <f t="shared" ref="E30:E34" si="2">AK30</f>
        <v>0</v>
      </c>
      <c r="F30" s="55"/>
      <c r="G30" s="55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16"/>
      <c r="W30" s="16"/>
      <c r="X30" s="55"/>
      <c r="Y30" s="55"/>
      <c r="Z30" s="55"/>
      <c r="AA30" s="55"/>
      <c r="AB30" s="55"/>
      <c r="AC30" s="55"/>
      <c r="AD30" s="55"/>
      <c r="AE30" s="55"/>
      <c r="AF30" s="33"/>
      <c r="AG30" s="33"/>
      <c r="AH30" s="33"/>
      <c r="AI30" s="34"/>
      <c r="AJ30" s="34"/>
      <c r="AK30" s="54">
        <f t="shared" si="1"/>
        <v>0</v>
      </c>
      <c r="AL30" s="36"/>
      <c r="AM30" s="31"/>
    </row>
    <row r="31" spans="2:39" ht="18.75" hidden="1" x14ac:dyDescent="0.25">
      <c r="B31" s="162"/>
      <c r="C31" s="52" t="s">
        <v>34</v>
      </c>
      <c r="D31" s="165"/>
      <c r="E31" s="53">
        <f t="shared" si="2"/>
        <v>0</v>
      </c>
      <c r="F31" s="33"/>
      <c r="G31" s="55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40"/>
      <c r="W31" s="40"/>
      <c r="X31" s="33"/>
      <c r="Y31" s="33"/>
      <c r="Z31" s="33"/>
      <c r="AA31" s="33"/>
      <c r="AB31" s="33"/>
      <c r="AC31" s="55"/>
      <c r="AD31" s="33"/>
      <c r="AE31" s="33"/>
      <c r="AF31" s="33"/>
      <c r="AG31" s="33"/>
      <c r="AH31" s="33"/>
      <c r="AI31" s="34"/>
      <c r="AJ31" s="34"/>
      <c r="AK31" s="54">
        <f t="shared" si="1"/>
        <v>0</v>
      </c>
      <c r="AL31" s="36"/>
      <c r="AM31" s="31"/>
    </row>
    <row r="32" spans="2:39" ht="18.75" hidden="1" x14ac:dyDescent="0.25">
      <c r="B32" s="162"/>
      <c r="C32" s="52" t="s">
        <v>35</v>
      </c>
      <c r="D32" s="165"/>
      <c r="E32" s="53">
        <f t="shared" si="2"/>
        <v>0</v>
      </c>
      <c r="F32" s="33"/>
      <c r="G32" s="55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40"/>
      <c r="W32" s="40"/>
      <c r="X32" s="33"/>
      <c r="Y32" s="33"/>
      <c r="Z32" s="33"/>
      <c r="AA32" s="33"/>
      <c r="AB32" s="33"/>
      <c r="AC32" s="55"/>
      <c r="AD32" s="33"/>
      <c r="AE32" s="33"/>
      <c r="AF32" s="33"/>
      <c r="AG32" s="33"/>
      <c r="AH32" s="33"/>
      <c r="AI32" s="34"/>
      <c r="AJ32" s="34"/>
      <c r="AK32" s="54">
        <f t="shared" si="1"/>
        <v>0</v>
      </c>
      <c r="AL32" s="36"/>
      <c r="AM32" s="31"/>
    </row>
    <row r="33" spans="1:40" ht="18.75" hidden="1" x14ac:dyDescent="0.25">
      <c r="B33" s="162"/>
      <c r="C33" s="52" t="s">
        <v>36</v>
      </c>
      <c r="D33" s="165"/>
      <c r="E33" s="53">
        <f t="shared" si="2"/>
        <v>0</v>
      </c>
      <c r="F33" s="33"/>
      <c r="G33" s="55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40"/>
      <c r="W33" s="40"/>
      <c r="X33" s="33"/>
      <c r="Y33" s="33"/>
      <c r="Z33" s="33"/>
      <c r="AA33" s="33"/>
      <c r="AB33" s="33"/>
      <c r="AC33" s="55"/>
      <c r="AD33" s="33"/>
      <c r="AE33" s="33"/>
      <c r="AF33" s="33"/>
      <c r="AG33" s="33"/>
      <c r="AH33" s="33"/>
      <c r="AI33" s="34"/>
      <c r="AJ33" s="34"/>
      <c r="AK33" s="54">
        <f t="shared" si="1"/>
        <v>0</v>
      </c>
      <c r="AL33" s="36"/>
      <c r="AM33" s="31"/>
    </row>
    <row r="34" spans="1:40" ht="18.75" x14ac:dyDescent="0.25">
      <c r="B34" s="163"/>
      <c r="C34" s="52" t="s">
        <v>37</v>
      </c>
      <c r="D34" s="166"/>
      <c r="E34" s="53">
        <f t="shared" si="2"/>
        <v>0</v>
      </c>
      <c r="F34" s="33"/>
      <c r="G34" s="55"/>
      <c r="H34" s="55"/>
      <c r="I34" s="55"/>
      <c r="J34" s="55"/>
      <c r="K34" s="55"/>
      <c r="L34" s="55"/>
      <c r="M34" s="33"/>
      <c r="N34" s="33"/>
      <c r="O34" s="33"/>
      <c r="P34" s="55"/>
      <c r="Q34" s="55"/>
      <c r="R34" s="55"/>
      <c r="S34" s="55"/>
      <c r="T34" s="33"/>
      <c r="U34" s="55"/>
      <c r="V34" s="40"/>
      <c r="W34" s="40"/>
      <c r="X34" s="33"/>
      <c r="Y34" s="33"/>
      <c r="Z34" s="33"/>
      <c r="AA34" s="33"/>
      <c r="AB34" s="33"/>
      <c r="AC34" s="55"/>
      <c r="AD34" s="33"/>
      <c r="AE34" s="33"/>
      <c r="AF34" s="33"/>
      <c r="AG34" s="55"/>
      <c r="AH34" s="55"/>
      <c r="AI34" s="56"/>
      <c r="AJ34" s="56"/>
      <c r="AK34" s="54">
        <f t="shared" si="1"/>
        <v>0</v>
      </c>
      <c r="AL34" s="36"/>
      <c r="AM34" s="31"/>
    </row>
    <row r="35" spans="1:40" ht="18.75" x14ac:dyDescent="0.25">
      <c r="B35" s="16" t="s">
        <v>17</v>
      </c>
      <c r="C35" s="52" t="s">
        <v>38</v>
      </c>
      <c r="D35" s="31" t="s">
        <v>22</v>
      </c>
      <c r="E35" s="53">
        <f>SUM(E26:E34)</f>
        <v>16246</v>
      </c>
      <c r="F35" s="55">
        <f t="shared" ref="F35:AI49" si="3">SUM(F26:F34)</f>
        <v>0</v>
      </c>
      <c r="G35" s="55">
        <f t="shared" si="3"/>
        <v>0</v>
      </c>
      <c r="H35" s="55">
        <f t="shared" si="3"/>
        <v>0</v>
      </c>
      <c r="I35" s="55">
        <f t="shared" si="3"/>
        <v>0</v>
      </c>
      <c r="J35" s="55">
        <f t="shared" si="3"/>
        <v>0</v>
      </c>
      <c r="K35" s="55">
        <f t="shared" si="3"/>
        <v>0</v>
      </c>
      <c r="L35" s="55">
        <f t="shared" si="3"/>
        <v>0</v>
      </c>
      <c r="M35" s="55">
        <f t="shared" si="3"/>
        <v>0</v>
      </c>
      <c r="N35" s="55">
        <f t="shared" si="3"/>
        <v>0</v>
      </c>
      <c r="O35" s="55">
        <f t="shared" si="3"/>
        <v>0</v>
      </c>
      <c r="P35" s="55">
        <f t="shared" si="3"/>
        <v>0</v>
      </c>
      <c r="Q35" s="55">
        <f t="shared" si="3"/>
        <v>0</v>
      </c>
      <c r="R35" s="55">
        <f t="shared" si="3"/>
        <v>0</v>
      </c>
      <c r="S35" s="55">
        <f t="shared" si="3"/>
        <v>0</v>
      </c>
      <c r="T35" s="55">
        <f t="shared" si="3"/>
        <v>0</v>
      </c>
      <c r="U35" s="55">
        <f t="shared" si="3"/>
        <v>0</v>
      </c>
      <c r="V35" s="40">
        <f>SUM(V26:V34)</f>
        <v>0</v>
      </c>
      <c r="W35" s="40">
        <f t="shared" si="3"/>
        <v>0</v>
      </c>
      <c r="X35" s="55">
        <f t="shared" si="3"/>
        <v>0</v>
      </c>
      <c r="Y35" s="55">
        <f t="shared" si="3"/>
        <v>0</v>
      </c>
      <c r="Z35" s="55">
        <f t="shared" si="3"/>
        <v>0</v>
      </c>
      <c r="AA35" s="55">
        <f t="shared" si="3"/>
        <v>0</v>
      </c>
      <c r="AB35" s="55">
        <f t="shared" si="3"/>
        <v>0</v>
      </c>
      <c r="AC35" s="55">
        <f t="shared" si="3"/>
        <v>0</v>
      </c>
      <c r="AD35" s="55">
        <f t="shared" si="3"/>
        <v>0</v>
      </c>
      <c r="AE35" s="55">
        <f t="shared" si="3"/>
        <v>0</v>
      </c>
      <c r="AF35" s="55">
        <f t="shared" si="3"/>
        <v>0</v>
      </c>
      <c r="AG35" s="55">
        <f t="shared" si="3"/>
        <v>0</v>
      </c>
      <c r="AH35" s="55">
        <f t="shared" si="3"/>
        <v>0</v>
      </c>
      <c r="AI35" s="56">
        <f t="shared" si="3"/>
        <v>0</v>
      </c>
      <c r="AJ35" s="56">
        <f>SUM(AJ26:AJ34)</f>
        <v>0</v>
      </c>
      <c r="AK35" s="54">
        <f>SUM(AK26:AK34)</f>
        <v>0</v>
      </c>
      <c r="AL35" s="36"/>
      <c r="AM35" s="31"/>
    </row>
    <row r="36" spans="1:40" s="13" customFormat="1" ht="20.25" x14ac:dyDescent="0.25">
      <c r="A36" s="30"/>
      <c r="B36" s="142" t="s">
        <v>39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4"/>
      <c r="AN36" s="21"/>
    </row>
    <row r="37" spans="1:40" ht="20.25" x14ac:dyDescent="0.25">
      <c r="B37" s="145" t="s">
        <v>27</v>
      </c>
      <c r="C37" s="146"/>
      <c r="D37" s="146"/>
      <c r="E37" s="146" t="s">
        <v>28</v>
      </c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8"/>
    </row>
    <row r="38" spans="1:40" ht="18.75" x14ac:dyDescent="0.25">
      <c r="B38" s="149" t="s">
        <v>20</v>
      </c>
      <c r="C38" s="150"/>
      <c r="D38" s="31"/>
      <c r="E38" s="4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5"/>
      <c r="AL38" s="36"/>
      <c r="AM38" s="31"/>
    </row>
    <row r="39" spans="1:40" ht="18.75" x14ac:dyDescent="0.25">
      <c r="B39" s="30"/>
      <c r="C39" s="16" t="s">
        <v>16</v>
      </c>
      <c r="D39" s="49" t="s">
        <v>22</v>
      </c>
      <c r="E39" s="43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7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35"/>
      <c r="AL39" s="51">
        <f>SUM(F39:AJ39)</f>
        <v>0</v>
      </c>
      <c r="AM39" s="31"/>
    </row>
    <row r="40" spans="1:40" ht="18.75" x14ac:dyDescent="0.25">
      <c r="B40" s="161" t="s">
        <v>21</v>
      </c>
      <c r="C40" s="52" t="s">
        <v>29</v>
      </c>
      <c r="D40" s="164" t="s">
        <v>22</v>
      </c>
      <c r="E40" s="53">
        <f>3241+AK40+52</f>
        <v>3293</v>
      </c>
      <c r="F40" s="55"/>
      <c r="G40" s="55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16"/>
      <c r="W40" s="16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4"/>
      <c r="AJ40" s="34"/>
      <c r="AK40" s="54">
        <f t="shared" ref="AK40:AK48" si="4">SUM(F40:AJ40)</f>
        <v>0</v>
      </c>
      <c r="AL40" s="36"/>
      <c r="AM40" s="31"/>
    </row>
    <row r="41" spans="1:40" ht="18.75" x14ac:dyDescent="0.25">
      <c r="B41" s="162"/>
      <c r="C41" s="52" t="s">
        <v>30</v>
      </c>
      <c r="D41" s="165"/>
      <c r="E41" s="53">
        <f>0+AK41</f>
        <v>0</v>
      </c>
      <c r="F41" s="55"/>
      <c r="G41" s="55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16"/>
      <c r="W41" s="16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4"/>
      <c r="AJ41" s="34"/>
      <c r="AK41" s="54">
        <f t="shared" si="4"/>
        <v>0</v>
      </c>
      <c r="AL41" s="36"/>
      <c r="AM41" s="31"/>
    </row>
    <row r="42" spans="1:40" ht="18.75" x14ac:dyDescent="0.25">
      <c r="B42" s="162"/>
      <c r="C42" s="52" t="s">
        <v>31</v>
      </c>
      <c r="D42" s="165"/>
      <c r="E42" s="53">
        <f>3436+AK42</f>
        <v>3436</v>
      </c>
      <c r="F42" s="55"/>
      <c r="G42" s="55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16"/>
      <c r="W42" s="16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4"/>
      <c r="AJ42" s="34"/>
      <c r="AK42" s="54">
        <f t="shared" si="4"/>
        <v>0</v>
      </c>
      <c r="AL42" s="36"/>
      <c r="AM42" s="31"/>
    </row>
    <row r="43" spans="1:40" ht="18.75" x14ac:dyDescent="0.25">
      <c r="B43" s="162"/>
      <c r="C43" s="52" t="s">
        <v>32</v>
      </c>
      <c r="D43" s="165"/>
      <c r="E43" s="53">
        <f>0+AK43</f>
        <v>0</v>
      </c>
      <c r="F43" s="55"/>
      <c r="G43" s="55"/>
      <c r="H43" s="55"/>
      <c r="I43" s="55"/>
      <c r="J43" s="55"/>
      <c r="K43" s="33"/>
      <c r="L43" s="55"/>
      <c r="M43" s="55"/>
      <c r="N43" s="55"/>
      <c r="O43" s="55"/>
      <c r="P43" s="55"/>
      <c r="Q43" s="55"/>
      <c r="R43" s="55"/>
      <c r="S43" s="55"/>
      <c r="T43" s="55"/>
      <c r="U43" s="33"/>
      <c r="V43" s="16"/>
      <c r="W43" s="16"/>
      <c r="X43" s="55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4"/>
      <c r="AJ43" s="34"/>
      <c r="AK43" s="54">
        <f t="shared" si="4"/>
        <v>0</v>
      </c>
      <c r="AL43" s="36"/>
      <c r="AM43" s="31"/>
    </row>
    <row r="44" spans="1:40" ht="18.75" x14ac:dyDescent="0.25">
      <c r="B44" s="162"/>
      <c r="C44" s="52" t="s">
        <v>40</v>
      </c>
      <c r="D44" s="165"/>
      <c r="E44" s="53">
        <f>994+AK44+1230+230</f>
        <v>2454</v>
      </c>
      <c r="F44" s="33"/>
      <c r="G44" s="33"/>
      <c r="H44" s="55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16"/>
      <c r="W44" s="16"/>
      <c r="X44" s="33"/>
      <c r="Y44" s="33"/>
      <c r="Z44" s="33"/>
      <c r="AA44" s="33"/>
      <c r="AB44" s="33"/>
      <c r="AC44" s="33"/>
      <c r="AD44" s="33"/>
      <c r="AE44" s="33"/>
      <c r="AF44" s="33"/>
      <c r="AG44" s="55"/>
      <c r="AH44" s="55"/>
      <c r="AI44" s="56"/>
      <c r="AJ44" s="56"/>
      <c r="AK44" s="54">
        <f t="shared" si="4"/>
        <v>0</v>
      </c>
      <c r="AL44" s="36"/>
      <c r="AM44" s="31"/>
    </row>
    <row r="45" spans="1:40" ht="18.75" hidden="1" x14ac:dyDescent="0.25">
      <c r="B45" s="162"/>
      <c r="C45" s="52" t="s">
        <v>34</v>
      </c>
      <c r="D45" s="165"/>
      <c r="E45" s="53">
        <v>0</v>
      </c>
      <c r="F45" s="33"/>
      <c r="G45" s="55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40"/>
      <c r="W45" s="40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4"/>
      <c r="AJ45" s="34"/>
      <c r="AK45" s="54">
        <f t="shared" si="4"/>
        <v>0</v>
      </c>
      <c r="AL45" s="36"/>
      <c r="AM45" s="31"/>
    </row>
    <row r="46" spans="1:40" ht="18.75" hidden="1" x14ac:dyDescent="0.25">
      <c r="B46" s="162"/>
      <c r="C46" s="52" t="s">
        <v>35</v>
      </c>
      <c r="D46" s="165"/>
      <c r="E46" s="53">
        <v>0</v>
      </c>
      <c r="F46" s="33"/>
      <c r="G46" s="55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40"/>
      <c r="W46" s="40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4"/>
      <c r="AJ46" s="34"/>
      <c r="AK46" s="54">
        <f t="shared" si="4"/>
        <v>0</v>
      </c>
      <c r="AL46" s="36"/>
      <c r="AM46" s="31"/>
    </row>
    <row r="47" spans="1:40" ht="18.75" hidden="1" x14ac:dyDescent="0.25">
      <c r="B47" s="162"/>
      <c r="C47" s="52" t="s">
        <v>36</v>
      </c>
      <c r="D47" s="165"/>
      <c r="E47" s="53">
        <v>0</v>
      </c>
      <c r="F47" s="33"/>
      <c r="G47" s="55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40"/>
      <c r="W47" s="40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4"/>
      <c r="AJ47" s="34"/>
      <c r="AK47" s="54">
        <f t="shared" si="4"/>
        <v>0</v>
      </c>
      <c r="AL47" s="36"/>
      <c r="AM47" s="31"/>
    </row>
    <row r="48" spans="1:40" ht="18.75" x14ac:dyDescent="0.25">
      <c r="B48" s="163"/>
      <c r="C48" s="52" t="s">
        <v>37</v>
      </c>
      <c r="D48" s="166"/>
      <c r="E48" s="53">
        <f>1230+AK48+1350+328</f>
        <v>2908</v>
      </c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16"/>
      <c r="W48" s="16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4"/>
      <c r="AJ48" s="34"/>
      <c r="AK48" s="54">
        <f t="shared" si="4"/>
        <v>0</v>
      </c>
      <c r="AL48" s="36"/>
      <c r="AM48" s="31"/>
    </row>
    <row r="49" spans="2:39" ht="18.75" x14ac:dyDescent="0.25">
      <c r="B49" s="16" t="s">
        <v>17</v>
      </c>
      <c r="C49" s="52" t="s">
        <v>38</v>
      </c>
      <c r="D49" s="31" t="s">
        <v>22</v>
      </c>
      <c r="E49" s="53">
        <f>SUM(E40:E48)</f>
        <v>12091</v>
      </c>
      <c r="F49" s="55">
        <f t="shared" si="3"/>
        <v>0</v>
      </c>
      <c r="G49" s="55">
        <f t="shared" si="3"/>
        <v>0</v>
      </c>
      <c r="H49" s="55">
        <f t="shared" si="3"/>
        <v>0</v>
      </c>
      <c r="I49" s="55">
        <f t="shared" si="3"/>
        <v>0</v>
      </c>
      <c r="J49" s="55">
        <f t="shared" si="3"/>
        <v>0</v>
      </c>
      <c r="K49" s="55">
        <f t="shared" si="3"/>
        <v>0</v>
      </c>
      <c r="L49" s="55">
        <f t="shared" si="3"/>
        <v>0</v>
      </c>
      <c r="M49" s="55">
        <f t="shared" si="3"/>
        <v>0</v>
      </c>
      <c r="N49" s="55">
        <f t="shared" si="3"/>
        <v>0</v>
      </c>
      <c r="O49" s="55">
        <f t="shared" si="3"/>
        <v>0</v>
      </c>
      <c r="P49" s="55">
        <f t="shared" si="3"/>
        <v>0</v>
      </c>
      <c r="Q49" s="55">
        <f t="shared" si="3"/>
        <v>0</v>
      </c>
      <c r="R49" s="55">
        <f t="shared" si="3"/>
        <v>0</v>
      </c>
      <c r="S49" s="55">
        <f t="shared" si="3"/>
        <v>0</v>
      </c>
      <c r="T49" s="55">
        <f t="shared" si="3"/>
        <v>0</v>
      </c>
      <c r="U49" s="55">
        <f t="shared" si="3"/>
        <v>0</v>
      </c>
      <c r="V49" s="40">
        <f>SUM(V40:V48)</f>
        <v>0</v>
      </c>
      <c r="W49" s="40">
        <f t="shared" ref="W49:AI49" si="5">SUM(W40:W48)</f>
        <v>0</v>
      </c>
      <c r="X49" s="55">
        <f t="shared" si="5"/>
        <v>0</v>
      </c>
      <c r="Y49" s="55">
        <f t="shared" si="5"/>
        <v>0</v>
      </c>
      <c r="Z49" s="55">
        <f t="shared" si="5"/>
        <v>0</v>
      </c>
      <c r="AA49" s="55">
        <f t="shared" si="5"/>
        <v>0</v>
      </c>
      <c r="AB49" s="55">
        <f t="shared" si="5"/>
        <v>0</v>
      </c>
      <c r="AC49" s="55">
        <f t="shared" si="5"/>
        <v>0</v>
      </c>
      <c r="AD49" s="55">
        <f t="shared" si="5"/>
        <v>0</v>
      </c>
      <c r="AE49" s="55">
        <f t="shared" si="5"/>
        <v>0</v>
      </c>
      <c r="AF49" s="55">
        <f t="shared" si="5"/>
        <v>0</v>
      </c>
      <c r="AG49" s="55">
        <f t="shared" si="5"/>
        <v>0</v>
      </c>
      <c r="AH49" s="55">
        <f t="shared" si="5"/>
        <v>0</v>
      </c>
      <c r="AI49" s="56">
        <f t="shared" si="5"/>
        <v>0</v>
      </c>
      <c r="AJ49" s="56">
        <f>SUM(AJ40:AJ48)</f>
        <v>0</v>
      </c>
      <c r="AK49" s="54">
        <f>SUM(AK40:AK48)</f>
        <v>0</v>
      </c>
      <c r="AL49" s="36"/>
      <c r="AM49" s="31"/>
    </row>
    <row r="50" spans="2:39" ht="20.25" x14ac:dyDescent="0.25">
      <c r="B50" s="145" t="s">
        <v>41</v>
      </c>
      <c r="C50" s="146"/>
      <c r="D50" s="146"/>
      <c r="E50" s="146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8"/>
    </row>
    <row r="51" spans="2:39" ht="18.75" x14ac:dyDescent="0.25">
      <c r="B51" s="149" t="s">
        <v>20</v>
      </c>
      <c r="C51" s="150"/>
      <c r="D51" s="31"/>
      <c r="E51" s="32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4"/>
      <c r="AJ51" s="34"/>
      <c r="AK51" s="35"/>
      <c r="AL51" s="36"/>
      <c r="AM51" s="31"/>
    </row>
    <row r="52" spans="2:39" ht="18.75" x14ac:dyDescent="0.25">
      <c r="B52" s="151" t="s">
        <v>21</v>
      </c>
      <c r="C52" s="16" t="s">
        <v>16</v>
      </c>
      <c r="D52" s="153" t="s">
        <v>42</v>
      </c>
      <c r="E52" s="155">
        <f>3099.018+AK52+108+1875</f>
        <v>5082.018</v>
      </c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157">
        <f>SUM(F53:AJ53)</f>
        <v>0</v>
      </c>
      <c r="AL52" s="159">
        <f>SUM(F52:AJ52)</f>
        <v>0</v>
      </c>
      <c r="AM52" s="38"/>
    </row>
    <row r="53" spans="2:39" ht="18.75" x14ac:dyDescent="0.25">
      <c r="B53" s="152"/>
      <c r="C53" s="16" t="s">
        <v>23</v>
      </c>
      <c r="D53" s="154"/>
      <c r="E53" s="156"/>
      <c r="F53" s="39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158"/>
      <c r="AL53" s="160"/>
      <c r="AM53" s="31"/>
    </row>
    <row r="54" spans="2:39" ht="18.75" x14ac:dyDescent="0.25">
      <c r="B54" s="41" t="s">
        <v>17</v>
      </c>
      <c r="C54" s="42" t="s">
        <v>24</v>
      </c>
      <c r="D54" s="29" t="s">
        <v>42</v>
      </c>
      <c r="E54" s="43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5"/>
      <c r="AL54" s="46"/>
      <c r="AM54" s="38"/>
    </row>
    <row r="55" spans="2:39" ht="20.25" x14ac:dyDescent="0.25">
      <c r="B55" s="145" t="s">
        <v>43</v>
      </c>
      <c r="C55" s="146"/>
      <c r="D55" s="146"/>
      <c r="E55" s="146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8"/>
    </row>
    <row r="56" spans="2:39" ht="18.75" x14ac:dyDescent="0.25">
      <c r="B56" s="149" t="s">
        <v>20</v>
      </c>
      <c r="C56" s="150"/>
      <c r="D56" s="31"/>
      <c r="E56" s="32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4"/>
      <c r="AJ56" s="34"/>
      <c r="AK56" s="35"/>
      <c r="AL56" s="36"/>
      <c r="AM56" s="31"/>
    </row>
    <row r="57" spans="2:39" ht="18.75" x14ac:dyDescent="0.25">
      <c r="B57" s="151" t="s">
        <v>21</v>
      </c>
      <c r="C57" s="16" t="s">
        <v>16</v>
      </c>
      <c r="D57" s="153" t="s">
        <v>22</v>
      </c>
      <c r="E57" s="155">
        <f>+AK57+3269</f>
        <v>3269</v>
      </c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157">
        <f>SUM(F58:AJ58)</f>
        <v>0</v>
      </c>
      <c r="AL57" s="159">
        <f>SUM(F57:AJ57)</f>
        <v>0</v>
      </c>
      <c r="AM57" s="38"/>
    </row>
    <row r="58" spans="2:39" ht="18.75" x14ac:dyDescent="0.25">
      <c r="B58" s="152"/>
      <c r="C58" s="16" t="s">
        <v>23</v>
      </c>
      <c r="D58" s="154"/>
      <c r="E58" s="156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158"/>
      <c r="AL58" s="160"/>
      <c r="AM58" s="31"/>
    </row>
    <row r="59" spans="2:39" ht="18.75" x14ac:dyDescent="0.25">
      <c r="B59" s="41" t="s">
        <v>17</v>
      </c>
      <c r="C59" s="42" t="s">
        <v>24</v>
      </c>
      <c r="D59" s="29" t="s">
        <v>22</v>
      </c>
      <c r="E59" s="43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5"/>
      <c r="AL59" s="46"/>
      <c r="AM59" s="38"/>
    </row>
    <row r="60" spans="2:39" ht="20.25" x14ac:dyDescent="0.25">
      <c r="B60" s="145" t="s">
        <v>44</v>
      </c>
      <c r="C60" s="146"/>
      <c r="D60" s="146"/>
      <c r="E60" s="146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8"/>
    </row>
    <row r="61" spans="2:39" ht="18.75" x14ac:dyDescent="0.25">
      <c r="B61" s="149" t="s">
        <v>20</v>
      </c>
      <c r="C61" s="150"/>
      <c r="D61" s="31"/>
      <c r="E61" s="32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4"/>
      <c r="AJ61" s="34"/>
      <c r="AK61" s="35"/>
      <c r="AL61" s="36"/>
      <c r="AM61" s="31"/>
    </row>
    <row r="62" spans="2:39" ht="18.75" x14ac:dyDescent="0.25">
      <c r="B62" s="151" t="s">
        <v>21</v>
      </c>
      <c r="C62" s="16" t="s">
        <v>16</v>
      </c>
      <c r="D62" s="153" t="s">
        <v>22</v>
      </c>
      <c r="E62" s="155">
        <f>+AK62+1682</f>
        <v>1682</v>
      </c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157">
        <f>SUM(F63:AJ63)</f>
        <v>0</v>
      </c>
      <c r="AL62" s="159">
        <f>SUM(F62:AJ62)</f>
        <v>0</v>
      </c>
      <c r="AM62" s="38"/>
    </row>
    <row r="63" spans="2:39" ht="18.75" x14ac:dyDescent="0.25">
      <c r="B63" s="152"/>
      <c r="C63" s="16" t="s">
        <v>23</v>
      </c>
      <c r="D63" s="154"/>
      <c r="E63" s="156"/>
      <c r="F63" s="39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158"/>
      <c r="AL63" s="160"/>
      <c r="AM63" s="31"/>
    </row>
    <row r="64" spans="2:39" ht="18.75" x14ac:dyDescent="0.25">
      <c r="B64" s="15" t="s">
        <v>17</v>
      </c>
      <c r="C64" s="16" t="s">
        <v>24</v>
      </c>
      <c r="D64" s="17" t="s">
        <v>22</v>
      </c>
      <c r="E64" s="59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1"/>
      <c r="AL64" s="40"/>
      <c r="AM64" s="62"/>
    </row>
    <row r="66" spans="2:39" ht="20.25" x14ac:dyDescent="0.25">
      <c r="B66" s="145" t="s">
        <v>45</v>
      </c>
      <c r="C66" s="146"/>
      <c r="D66" s="146"/>
      <c r="E66" s="146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8"/>
    </row>
    <row r="67" spans="2:39" ht="18.75" x14ac:dyDescent="0.25">
      <c r="B67" s="149" t="s">
        <v>20</v>
      </c>
      <c r="C67" s="150"/>
      <c r="D67" s="31"/>
      <c r="E67" s="32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4"/>
      <c r="AJ67" s="34"/>
      <c r="AK67" s="35"/>
      <c r="AL67" s="36"/>
      <c r="AM67" s="31"/>
    </row>
    <row r="68" spans="2:39" ht="18.75" x14ac:dyDescent="0.25">
      <c r="B68" s="151" t="s">
        <v>21</v>
      </c>
      <c r="C68" s="16" t="s">
        <v>16</v>
      </c>
      <c r="D68" s="153" t="s">
        <v>22</v>
      </c>
      <c r="E68" s="155">
        <f>+AK68+110</f>
        <v>110</v>
      </c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157">
        <f>SUM(F69:AJ69)</f>
        <v>0</v>
      </c>
      <c r="AL68" s="159">
        <f>SUM(F68:AJ68)</f>
        <v>0</v>
      </c>
      <c r="AM68" s="38"/>
    </row>
    <row r="69" spans="2:39" ht="18.75" x14ac:dyDescent="0.25">
      <c r="B69" s="152"/>
      <c r="C69" s="16" t="s">
        <v>23</v>
      </c>
      <c r="D69" s="154"/>
      <c r="E69" s="156"/>
      <c r="F69" s="39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158"/>
      <c r="AL69" s="160"/>
      <c r="AM69" s="31"/>
    </row>
    <row r="70" spans="2:39" ht="18.75" x14ac:dyDescent="0.25">
      <c r="B70" s="15" t="s">
        <v>17</v>
      </c>
      <c r="C70" s="16" t="s">
        <v>24</v>
      </c>
      <c r="D70" s="17" t="s">
        <v>22</v>
      </c>
      <c r="E70" s="59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1"/>
      <c r="AL70" s="40"/>
      <c r="AM70" s="62"/>
    </row>
  </sheetData>
  <mergeCells count="68">
    <mergeCell ref="B66:AM66"/>
    <mergeCell ref="B67:C67"/>
    <mergeCell ref="B68:B69"/>
    <mergeCell ref="D68:D69"/>
    <mergeCell ref="E68:E69"/>
    <mergeCell ref="AK68:AK69"/>
    <mergeCell ref="AL68:AL69"/>
    <mergeCell ref="B60:AM60"/>
    <mergeCell ref="B61:C61"/>
    <mergeCell ref="B62:B63"/>
    <mergeCell ref="D62:D63"/>
    <mergeCell ref="E62:E63"/>
    <mergeCell ref="AK62:AK63"/>
    <mergeCell ref="AL62:AL63"/>
    <mergeCell ref="AL52:AL53"/>
    <mergeCell ref="B55:AM55"/>
    <mergeCell ref="B56:C56"/>
    <mergeCell ref="B57:B58"/>
    <mergeCell ref="D57:D58"/>
    <mergeCell ref="E57:E58"/>
    <mergeCell ref="AK57:AK58"/>
    <mergeCell ref="AL57:AL58"/>
    <mergeCell ref="B51:C51"/>
    <mergeCell ref="B52:B53"/>
    <mergeCell ref="D52:D53"/>
    <mergeCell ref="E52:E53"/>
    <mergeCell ref="AK52:AK53"/>
    <mergeCell ref="B37:AM37"/>
    <mergeCell ref="B38:C38"/>
    <mergeCell ref="B40:B48"/>
    <mergeCell ref="D40:D48"/>
    <mergeCell ref="B50:AM50"/>
    <mergeCell ref="B23:AM23"/>
    <mergeCell ref="B24:C24"/>
    <mergeCell ref="B26:B34"/>
    <mergeCell ref="D26:D34"/>
    <mergeCell ref="B36:AM36"/>
    <mergeCell ref="B18:AM18"/>
    <mergeCell ref="B19:C19"/>
    <mergeCell ref="B20:B21"/>
    <mergeCell ref="D20:D21"/>
    <mergeCell ref="E20:E21"/>
    <mergeCell ref="AK20:AK21"/>
    <mergeCell ref="AL20:AL21"/>
    <mergeCell ref="B13:AM13"/>
    <mergeCell ref="B14:C14"/>
    <mergeCell ref="B15:B16"/>
    <mergeCell ref="D15:D16"/>
    <mergeCell ref="E15:E16"/>
    <mergeCell ref="AK15:AK16"/>
    <mergeCell ref="AL15:AL16"/>
    <mergeCell ref="B7:AM7"/>
    <mergeCell ref="B8:AM8"/>
    <mergeCell ref="B9:C9"/>
    <mergeCell ref="B10:B11"/>
    <mergeCell ref="D10:D11"/>
    <mergeCell ref="E10:E11"/>
    <mergeCell ref="AK10:AK11"/>
    <mergeCell ref="AL10:AL11"/>
    <mergeCell ref="O2:Z2"/>
    <mergeCell ref="AH2:AM2"/>
    <mergeCell ref="B3:AM3"/>
    <mergeCell ref="B4:D4"/>
    <mergeCell ref="E4:E6"/>
    <mergeCell ref="F4:AM4"/>
    <mergeCell ref="B5:D5"/>
    <mergeCell ref="AK5:AM5"/>
    <mergeCell ref="B6:D6"/>
  </mergeCells>
  <pageMargins left="0.70866099999999987" right="0.70866099999999987" top="0.748031" bottom="0.748031" header="0.31496099999999999" footer="0.31496099999999999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>
    <pageSetUpPr fitToPage="1"/>
  </sheetPr>
  <dimension ref="A2:BR95"/>
  <sheetViews>
    <sheetView topLeftCell="B1" zoomScale="55" zoomScaleNormal="55" zoomScaleSheetLayoutView="70" workbookViewId="0">
      <pane ySplit="6" topLeftCell="A35" activePane="bottomLeft" state="frozen"/>
      <selection activeCell="N31" sqref="N31"/>
      <selection pane="bottomLeft" activeCell="AO42" sqref="AO42"/>
    </sheetView>
  </sheetViews>
  <sheetFormatPr defaultRowHeight="15" customHeight="1" x14ac:dyDescent="0.25"/>
  <cols>
    <col min="1" max="1" width="10.5703125" style="1" hidden="1" customWidth="1"/>
    <col min="2" max="2" width="9.42578125" style="1" customWidth="1"/>
    <col min="3" max="3" width="14.140625" style="1" customWidth="1"/>
    <col min="4" max="4" width="7.140625" style="1" customWidth="1"/>
    <col min="5" max="5" width="10.85546875" style="1" customWidth="1"/>
    <col min="6" max="7" width="10.28515625" style="1" customWidth="1"/>
    <col min="8" max="8" width="12.140625" style="1" customWidth="1"/>
    <col min="9" max="10" width="10.28515625" style="1" customWidth="1"/>
    <col min="11" max="11" width="11.5703125" style="1" customWidth="1"/>
    <col min="12" max="34" width="10.28515625" style="1" customWidth="1"/>
    <col min="35" max="37" width="10.5703125" style="1" customWidth="1"/>
    <col min="38" max="38" width="10.7109375" style="1" customWidth="1"/>
    <col min="39" max="39" width="11.7109375" style="1" customWidth="1"/>
    <col min="40" max="16384" width="9.140625" style="1"/>
  </cols>
  <sheetData>
    <row r="2" spans="1:70" s="2" customFormat="1" ht="30" customHeight="1" x14ac:dyDescent="0.3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4"/>
      <c r="AB2" s="4"/>
      <c r="AC2" s="4"/>
      <c r="AD2" s="4"/>
      <c r="AE2" s="4"/>
      <c r="AF2" s="4"/>
      <c r="AG2" s="4"/>
      <c r="AH2" s="124" t="s">
        <v>133</v>
      </c>
      <c r="AI2" s="124"/>
      <c r="AJ2" s="124"/>
      <c r="AK2" s="124"/>
      <c r="AL2" s="124"/>
      <c r="AM2" s="124"/>
      <c r="AN2" s="5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4"/>
      <c r="BO2" s="4"/>
      <c r="BP2" s="4"/>
      <c r="BQ2" s="4"/>
      <c r="BR2" s="4"/>
    </row>
    <row r="3" spans="1:70" s="2" customFormat="1" ht="50.25" customHeight="1" x14ac:dyDescent="0.25">
      <c r="A3" s="7"/>
      <c r="B3" s="125" t="s">
        <v>1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8"/>
    </row>
    <row r="4" spans="1:70" s="2" customFormat="1" ht="30" customHeight="1" x14ac:dyDescent="0.25">
      <c r="A4" s="9"/>
      <c r="B4" s="126" t="s">
        <v>2</v>
      </c>
      <c r="C4" s="127"/>
      <c r="D4" s="128"/>
      <c r="E4" s="129" t="s">
        <v>3</v>
      </c>
      <c r="F4" s="132" t="s">
        <v>131</v>
      </c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3"/>
      <c r="AN4" s="12"/>
    </row>
    <row r="5" spans="1:70" s="13" customFormat="1" ht="15" customHeight="1" x14ac:dyDescent="0.25">
      <c r="A5" s="14"/>
      <c r="B5" s="134" t="s">
        <v>5</v>
      </c>
      <c r="C5" s="135"/>
      <c r="D5" s="136"/>
      <c r="E5" s="130"/>
      <c r="F5" s="18">
        <v>1</v>
      </c>
      <c r="G5" s="19">
        <v>2</v>
      </c>
      <c r="H5" s="19">
        <v>3</v>
      </c>
      <c r="I5" s="19">
        <v>4</v>
      </c>
      <c r="J5" s="19">
        <v>5</v>
      </c>
      <c r="K5" s="19">
        <v>6</v>
      </c>
      <c r="L5" s="19">
        <v>7</v>
      </c>
      <c r="M5" s="19">
        <v>8</v>
      </c>
      <c r="N5" s="19">
        <v>9</v>
      </c>
      <c r="O5" s="19">
        <v>10</v>
      </c>
      <c r="P5" s="19">
        <v>11</v>
      </c>
      <c r="Q5" s="19">
        <v>12</v>
      </c>
      <c r="R5" s="19">
        <v>13</v>
      </c>
      <c r="S5" s="19">
        <v>14</v>
      </c>
      <c r="T5" s="19">
        <v>15</v>
      </c>
      <c r="U5" s="19">
        <v>16</v>
      </c>
      <c r="V5" s="19">
        <v>17</v>
      </c>
      <c r="W5" s="19">
        <v>18</v>
      </c>
      <c r="X5" s="19">
        <v>19</v>
      </c>
      <c r="Y5" s="19">
        <v>20</v>
      </c>
      <c r="Z5" s="19">
        <v>21</v>
      </c>
      <c r="AA5" s="19">
        <v>22</v>
      </c>
      <c r="AB5" s="19">
        <v>23</v>
      </c>
      <c r="AC5" s="19">
        <v>24</v>
      </c>
      <c r="AD5" s="19">
        <v>25</v>
      </c>
      <c r="AE5" s="19">
        <v>26</v>
      </c>
      <c r="AF5" s="19">
        <v>27</v>
      </c>
      <c r="AG5" s="20">
        <v>28</v>
      </c>
      <c r="AH5" s="19">
        <v>29</v>
      </c>
      <c r="AI5" s="20">
        <v>30</v>
      </c>
      <c r="AJ5" s="20">
        <v>31</v>
      </c>
      <c r="AK5" s="137" t="s">
        <v>6</v>
      </c>
      <c r="AL5" s="137"/>
      <c r="AM5" s="138"/>
      <c r="AN5" s="21"/>
    </row>
    <row r="6" spans="1:70" s="13" customFormat="1" ht="18.75" x14ac:dyDescent="0.25">
      <c r="A6" s="22"/>
      <c r="B6" s="139" t="s">
        <v>7</v>
      </c>
      <c r="C6" s="140"/>
      <c r="D6" s="141"/>
      <c r="E6" s="131"/>
      <c r="F6" s="26" t="s">
        <v>13</v>
      </c>
      <c r="G6" s="26" t="s">
        <v>14</v>
      </c>
      <c r="H6" s="26" t="s">
        <v>8</v>
      </c>
      <c r="I6" s="26" t="s">
        <v>9</v>
      </c>
      <c r="J6" s="26" t="s">
        <v>10</v>
      </c>
      <c r="K6" s="26" t="s">
        <v>11</v>
      </c>
      <c r="L6" s="26" t="s">
        <v>12</v>
      </c>
      <c r="M6" s="26" t="s">
        <v>13</v>
      </c>
      <c r="N6" s="26" t="s">
        <v>14</v>
      </c>
      <c r="O6" s="26" t="s">
        <v>8</v>
      </c>
      <c r="P6" s="26" t="s">
        <v>9</v>
      </c>
      <c r="Q6" s="26" t="s">
        <v>10</v>
      </c>
      <c r="R6" s="26" t="s">
        <v>11</v>
      </c>
      <c r="S6" s="26" t="s">
        <v>12</v>
      </c>
      <c r="T6" s="26" t="s">
        <v>13</v>
      </c>
      <c r="U6" s="26" t="s">
        <v>14</v>
      </c>
      <c r="V6" s="26" t="s">
        <v>8</v>
      </c>
      <c r="W6" s="26" t="s">
        <v>9</v>
      </c>
      <c r="X6" s="26" t="s">
        <v>10</v>
      </c>
      <c r="Y6" s="26" t="s">
        <v>11</v>
      </c>
      <c r="Z6" s="26" t="s">
        <v>12</v>
      </c>
      <c r="AA6" s="26" t="s">
        <v>13</v>
      </c>
      <c r="AB6" s="26" t="s">
        <v>14</v>
      </c>
      <c r="AC6" s="26" t="s">
        <v>8</v>
      </c>
      <c r="AD6" s="26" t="s">
        <v>9</v>
      </c>
      <c r="AE6" s="26" t="s">
        <v>10</v>
      </c>
      <c r="AF6" s="26" t="s">
        <v>11</v>
      </c>
      <c r="AG6" s="26" t="s">
        <v>12</v>
      </c>
      <c r="AH6" s="26" t="s">
        <v>13</v>
      </c>
      <c r="AI6" s="26" t="s">
        <v>14</v>
      </c>
      <c r="AJ6" s="26" t="s">
        <v>8</v>
      </c>
      <c r="AK6" s="27" t="s">
        <v>15</v>
      </c>
      <c r="AL6" s="28" t="s">
        <v>16</v>
      </c>
      <c r="AM6" s="29" t="s">
        <v>17</v>
      </c>
      <c r="AN6" s="21"/>
    </row>
    <row r="7" spans="1:70" s="13" customFormat="1" ht="21" thickBot="1" x14ac:dyDescent="0.3">
      <c r="A7" s="30"/>
      <c r="B7" s="142" t="s">
        <v>18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8"/>
      <c r="AN7" s="21"/>
    </row>
    <row r="8" spans="1:70" ht="20.25" hidden="1" x14ac:dyDescent="0.25">
      <c r="B8" s="145" t="s">
        <v>47</v>
      </c>
      <c r="C8" s="146"/>
      <c r="D8" s="146"/>
      <c r="E8" s="146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8"/>
    </row>
    <row r="9" spans="1:70" ht="18.75" hidden="1" x14ac:dyDescent="0.25">
      <c r="B9" s="149" t="s">
        <v>20</v>
      </c>
      <c r="C9" s="150"/>
      <c r="D9" s="31"/>
      <c r="E9" s="32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4"/>
      <c r="AK9" s="35"/>
      <c r="AL9" s="36"/>
      <c r="AM9" s="31"/>
    </row>
    <row r="10" spans="1:70" ht="18.75" hidden="1" x14ac:dyDescent="0.25">
      <c r="B10" s="151" t="s">
        <v>21</v>
      </c>
      <c r="C10" s="16" t="s">
        <v>16</v>
      </c>
      <c r="D10" s="153" t="s">
        <v>22</v>
      </c>
      <c r="E10" s="155">
        <f>1750+AK10</f>
        <v>1750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157">
        <f>SUM(F11:AJ11)</f>
        <v>0</v>
      </c>
      <c r="AL10" s="159">
        <f>SUM(F10:AJ10)</f>
        <v>0</v>
      </c>
      <c r="AM10" s="38"/>
    </row>
    <row r="11" spans="1:70" ht="18.75" hidden="1" x14ac:dyDescent="0.25">
      <c r="B11" s="152"/>
      <c r="C11" s="16" t="s">
        <v>23</v>
      </c>
      <c r="D11" s="154"/>
      <c r="E11" s="156"/>
      <c r="F11" s="39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16"/>
      <c r="AI11" s="16"/>
      <c r="AJ11" s="16"/>
      <c r="AK11" s="158"/>
      <c r="AL11" s="160"/>
      <c r="AM11" s="31"/>
    </row>
    <row r="12" spans="1:70" ht="18.75" hidden="1" x14ac:dyDescent="0.25">
      <c r="B12" s="41" t="s">
        <v>17</v>
      </c>
      <c r="C12" s="42" t="s">
        <v>24</v>
      </c>
      <c r="D12" s="29" t="s">
        <v>22</v>
      </c>
      <c r="E12" s="43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5"/>
      <c r="AL12" s="46"/>
      <c r="AM12" s="38"/>
    </row>
    <row r="13" spans="1:70" ht="21" thickBot="1" x14ac:dyDescent="0.3">
      <c r="B13" s="145" t="s">
        <v>19</v>
      </c>
      <c r="C13" s="146"/>
      <c r="D13" s="146"/>
      <c r="E13" s="146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8"/>
    </row>
    <row r="14" spans="1:70" ht="18.75" x14ac:dyDescent="0.25">
      <c r="B14" s="149" t="s">
        <v>20</v>
      </c>
      <c r="C14" s="150"/>
      <c r="D14" s="31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4"/>
      <c r="AK14" s="35"/>
      <c r="AL14" s="36"/>
      <c r="AM14" s="31"/>
    </row>
    <row r="15" spans="1:70" ht="18.75" x14ac:dyDescent="0.25">
      <c r="B15" s="151" t="s">
        <v>21</v>
      </c>
      <c r="C15" s="16" t="s">
        <v>16</v>
      </c>
      <c r="D15" s="153" t="s">
        <v>22</v>
      </c>
      <c r="E15" s="155">
        <f>12122+AK15+897</f>
        <v>21134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157">
        <f>SUM(F16:AJ16)</f>
        <v>8115</v>
      </c>
      <c r="AL15" s="159">
        <f>SUM(F15:AJ15)</f>
        <v>0</v>
      </c>
      <c r="AM15" s="38"/>
    </row>
    <row r="16" spans="1:70" ht="18.75" x14ac:dyDescent="0.25">
      <c r="B16" s="152"/>
      <c r="C16" s="16" t="s">
        <v>23</v>
      </c>
      <c r="D16" s="154"/>
      <c r="E16" s="156"/>
      <c r="F16" s="39">
        <v>190</v>
      </c>
      <c r="G16" s="40">
        <v>300</v>
      </c>
      <c r="H16" s="40">
        <f>140+130</f>
        <v>270</v>
      </c>
      <c r="I16" s="40">
        <f>180+140</f>
        <v>320</v>
      </c>
      <c r="J16" s="40">
        <f>180+110</f>
        <v>290</v>
      </c>
      <c r="K16" s="40">
        <f>185+150</f>
        <v>335</v>
      </c>
      <c r="L16" s="40">
        <f>190+180</f>
        <v>370</v>
      </c>
      <c r="M16" s="40">
        <f>180+180</f>
        <v>360</v>
      </c>
      <c r="N16" s="40">
        <f>120+180</f>
        <v>300</v>
      </c>
      <c r="O16" s="40">
        <f>140+180</f>
        <v>320</v>
      </c>
      <c r="P16" s="40">
        <f>140+130</f>
        <v>270</v>
      </c>
      <c r="Q16" s="40">
        <f>160+160</f>
        <v>320</v>
      </c>
      <c r="R16" s="40">
        <f>160+160</f>
        <v>320</v>
      </c>
      <c r="S16" s="40">
        <f>150+160</f>
        <v>310</v>
      </c>
      <c r="T16" s="40">
        <v>50</v>
      </c>
      <c r="U16" s="40">
        <v>100</v>
      </c>
      <c r="V16" s="40">
        <f>180+180</f>
        <v>360</v>
      </c>
      <c r="W16" s="40">
        <f>180+180</f>
        <v>360</v>
      </c>
      <c r="X16" s="40">
        <f>180+180</f>
        <v>360</v>
      </c>
      <c r="Y16" s="40">
        <f>100+180</f>
        <v>280</v>
      </c>
      <c r="Z16" s="40">
        <v>150</v>
      </c>
      <c r="AA16" s="40">
        <v>310</v>
      </c>
      <c r="AB16" s="40">
        <f>180+170</f>
        <v>350</v>
      </c>
      <c r="AC16" s="40">
        <f>180+180</f>
        <v>360</v>
      </c>
      <c r="AD16" s="40">
        <f>180+180</f>
        <v>360</v>
      </c>
      <c r="AE16" s="40">
        <f>100+180</f>
        <v>280</v>
      </c>
      <c r="AF16" s="40">
        <f>130+140</f>
        <v>270</v>
      </c>
      <c r="AG16" s="40">
        <v>70</v>
      </c>
      <c r="AH16" s="40">
        <f>180</f>
        <v>180</v>
      </c>
      <c r="AI16" s="40"/>
      <c r="AJ16" s="40"/>
      <c r="AK16" s="158"/>
      <c r="AL16" s="160"/>
      <c r="AM16" s="31"/>
    </row>
    <row r="17" spans="2:39" ht="18.75" x14ac:dyDescent="0.25">
      <c r="B17" s="41" t="s">
        <v>17</v>
      </c>
      <c r="C17" s="42" t="s">
        <v>24</v>
      </c>
      <c r="D17" s="29" t="s">
        <v>22</v>
      </c>
      <c r="E17" s="43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5"/>
      <c r="AL17" s="46"/>
      <c r="AM17" s="38"/>
    </row>
    <row r="18" spans="2:39" ht="20.25" x14ac:dyDescent="0.25">
      <c r="B18" s="145" t="s">
        <v>129</v>
      </c>
      <c r="C18" s="146"/>
      <c r="D18" s="146"/>
      <c r="E18" s="146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8"/>
    </row>
    <row r="19" spans="2:39" ht="18.75" x14ac:dyDescent="0.25">
      <c r="B19" s="149" t="s">
        <v>20</v>
      </c>
      <c r="C19" s="150"/>
      <c r="D19" s="31"/>
      <c r="E19" s="32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4"/>
      <c r="AJ19" s="34"/>
      <c r="AK19" s="35"/>
      <c r="AL19" s="36"/>
      <c r="AM19" s="31"/>
    </row>
    <row r="20" spans="2:39" ht="18.75" x14ac:dyDescent="0.25">
      <c r="B20" s="151" t="s">
        <v>21</v>
      </c>
      <c r="C20" s="16" t="s">
        <v>16</v>
      </c>
      <c r="D20" s="153" t="s">
        <v>22</v>
      </c>
      <c r="E20" s="93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94">
        <f>SUM(F20:AJ20)</f>
        <v>0</v>
      </c>
      <c r="AL20" s="159">
        <f>SUM(F20:AJ20)</f>
        <v>0</v>
      </c>
      <c r="AM20" s="38"/>
    </row>
    <row r="21" spans="2:39" ht="18.75" x14ac:dyDescent="0.25">
      <c r="B21" s="169"/>
      <c r="C21" s="91" t="s">
        <v>127</v>
      </c>
      <c r="D21" s="170"/>
      <c r="E21" s="92">
        <f>500+AK21</f>
        <v>500</v>
      </c>
      <c r="F21" s="39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94">
        <f t="shared" ref="AK21:AK22" si="0">SUM(F21:AJ21)</f>
        <v>0</v>
      </c>
      <c r="AL21" s="171"/>
      <c r="AM21" s="90"/>
    </row>
    <row r="22" spans="2:39" ht="18.75" x14ac:dyDescent="0.25">
      <c r="B22" s="152"/>
      <c r="C22" s="16" t="s">
        <v>128</v>
      </c>
      <c r="D22" s="154"/>
      <c r="E22" s="92">
        <f>500+AK22</f>
        <v>500</v>
      </c>
      <c r="F22" s="39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94">
        <f t="shared" si="0"/>
        <v>0</v>
      </c>
      <c r="AL22" s="160"/>
      <c r="AM22" s="31"/>
    </row>
    <row r="23" spans="2:39" ht="19.5" thickBot="1" x14ac:dyDescent="0.3">
      <c r="B23" s="41" t="s">
        <v>17</v>
      </c>
      <c r="C23" s="42" t="s">
        <v>24</v>
      </c>
      <c r="D23" s="29" t="s">
        <v>22</v>
      </c>
      <c r="E23" s="43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5"/>
      <c r="AL23" s="46"/>
      <c r="AM23" s="38"/>
    </row>
    <row r="24" spans="2:39" ht="20.25" hidden="1" x14ac:dyDescent="0.25">
      <c r="B24" s="145" t="s">
        <v>26</v>
      </c>
      <c r="C24" s="146"/>
      <c r="D24" s="146"/>
      <c r="E24" s="146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8"/>
    </row>
    <row r="25" spans="2:39" ht="18.75" hidden="1" x14ac:dyDescent="0.25">
      <c r="B25" s="149" t="s">
        <v>20</v>
      </c>
      <c r="C25" s="150"/>
      <c r="D25" s="31"/>
      <c r="E25" s="32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4"/>
      <c r="AJ25" s="34"/>
      <c r="AK25" s="35"/>
      <c r="AL25" s="36"/>
      <c r="AM25" s="31"/>
    </row>
    <row r="26" spans="2:39" ht="18.75" hidden="1" x14ac:dyDescent="0.25">
      <c r="B26" s="151" t="s">
        <v>21</v>
      </c>
      <c r="C26" s="16" t="s">
        <v>16</v>
      </c>
      <c r="D26" s="153" t="s">
        <v>22</v>
      </c>
      <c r="E26" s="155">
        <f>AK26</f>
        <v>0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157">
        <f>SUM(F27:AJ27)</f>
        <v>0</v>
      </c>
      <c r="AL26" s="159">
        <f>SUM(F26:AJ26)</f>
        <v>0</v>
      </c>
      <c r="AM26" s="38"/>
    </row>
    <row r="27" spans="2:39" ht="18.75" hidden="1" x14ac:dyDescent="0.25">
      <c r="B27" s="152"/>
      <c r="C27" s="16" t="s">
        <v>23</v>
      </c>
      <c r="D27" s="154"/>
      <c r="E27" s="156"/>
      <c r="F27" s="39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158"/>
      <c r="AL27" s="160"/>
      <c r="AM27" s="31"/>
    </row>
    <row r="28" spans="2:39" ht="18.75" hidden="1" x14ac:dyDescent="0.25">
      <c r="B28" s="41" t="s">
        <v>17</v>
      </c>
      <c r="C28" s="42" t="s">
        <v>24</v>
      </c>
      <c r="D28" s="29" t="s">
        <v>22</v>
      </c>
      <c r="E28" s="43"/>
      <c r="F28" s="34">
        <f t="shared" ref="F28:AI28" si="1">SUM(F25:F27)</f>
        <v>0</v>
      </c>
      <c r="G28" s="34">
        <f t="shared" si="1"/>
        <v>0</v>
      </c>
      <c r="H28" s="34">
        <f t="shared" si="1"/>
        <v>0</v>
      </c>
      <c r="I28" s="34">
        <f t="shared" si="1"/>
        <v>0</v>
      </c>
      <c r="J28" s="34">
        <f t="shared" si="1"/>
        <v>0</v>
      </c>
      <c r="K28" s="34">
        <f t="shared" si="1"/>
        <v>0</v>
      </c>
      <c r="L28" s="34">
        <f t="shared" si="1"/>
        <v>0</v>
      </c>
      <c r="M28" s="47">
        <f t="shared" si="1"/>
        <v>0</v>
      </c>
      <c r="N28" s="34">
        <f t="shared" si="1"/>
        <v>0</v>
      </c>
      <c r="O28" s="34">
        <f t="shared" si="1"/>
        <v>0</v>
      </c>
      <c r="P28" s="34">
        <f t="shared" si="1"/>
        <v>0</v>
      </c>
      <c r="Q28" s="34">
        <f t="shared" si="1"/>
        <v>0</v>
      </c>
      <c r="R28" s="34">
        <f t="shared" si="1"/>
        <v>0</v>
      </c>
      <c r="S28" s="34">
        <f t="shared" si="1"/>
        <v>0</v>
      </c>
      <c r="T28" s="34">
        <f t="shared" si="1"/>
        <v>0</v>
      </c>
      <c r="U28" s="34">
        <f t="shared" si="1"/>
        <v>0</v>
      </c>
      <c r="V28" s="34">
        <f t="shared" si="1"/>
        <v>0</v>
      </c>
      <c r="W28" s="34">
        <f t="shared" si="1"/>
        <v>0</v>
      </c>
      <c r="X28" s="34">
        <f t="shared" si="1"/>
        <v>0</v>
      </c>
      <c r="Y28" s="34">
        <f t="shared" si="1"/>
        <v>0</v>
      </c>
      <c r="Z28" s="34">
        <f t="shared" si="1"/>
        <v>0</v>
      </c>
      <c r="AA28" s="34">
        <f t="shared" si="1"/>
        <v>0</v>
      </c>
      <c r="AB28" s="34">
        <f t="shared" si="1"/>
        <v>0</v>
      </c>
      <c r="AC28" s="34">
        <f t="shared" si="1"/>
        <v>0</v>
      </c>
      <c r="AD28" s="34">
        <f t="shared" si="1"/>
        <v>0</v>
      </c>
      <c r="AE28" s="34">
        <f t="shared" si="1"/>
        <v>0</v>
      </c>
      <c r="AF28" s="34">
        <f t="shared" si="1"/>
        <v>0</v>
      </c>
      <c r="AG28" s="34">
        <f t="shared" si="1"/>
        <v>0</v>
      </c>
      <c r="AH28" s="34">
        <f t="shared" si="1"/>
        <v>0</v>
      </c>
      <c r="AI28" s="34">
        <f t="shared" si="1"/>
        <v>0</v>
      </c>
      <c r="AJ28" s="34">
        <f>SUM(AJ25:AJ27)</f>
        <v>0</v>
      </c>
      <c r="AK28" s="45"/>
      <c r="AL28" s="46"/>
      <c r="AM28" s="38"/>
    </row>
    <row r="29" spans="2:39" ht="21" thickBot="1" x14ac:dyDescent="0.3">
      <c r="B29" s="145" t="s">
        <v>123</v>
      </c>
      <c r="C29" s="146"/>
      <c r="D29" s="146"/>
      <c r="E29" s="146" t="s">
        <v>28</v>
      </c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8"/>
    </row>
    <row r="30" spans="2:39" ht="39.75" customHeight="1" x14ac:dyDescent="0.25">
      <c r="B30" s="149" t="s">
        <v>20</v>
      </c>
      <c r="C30" s="150"/>
      <c r="D30" s="31"/>
      <c r="E30" s="43"/>
      <c r="F30" s="33"/>
      <c r="G30" s="33"/>
      <c r="H30" s="48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4"/>
      <c r="AJ30" s="34"/>
      <c r="AK30" s="35"/>
      <c r="AL30" s="36"/>
      <c r="AM30" s="31"/>
    </row>
    <row r="31" spans="2:39" ht="18.75" x14ac:dyDescent="0.25">
      <c r="B31" s="30"/>
      <c r="C31" s="16" t="s">
        <v>16</v>
      </c>
      <c r="D31" s="49" t="s">
        <v>22</v>
      </c>
      <c r="E31" s="43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35"/>
      <c r="AL31" s="51">
        <f>SUM(F31:AJ31)</f>
        <v>0</v>
      </c>
      <c r="AM31" s="31"/>
    </row>
    <row r="32" spans="2:39" ht="18.75" x14ac:dyDescent="0.25">
      <c r="B32" s="161" t="s">
        <v>21</v>
      </c>
      <c r="C32" s="52" t="s">
        <v>29</v>
      </c>
      <c r="D32" s="164" t="s">
        <v>22</v>
      </c>
      <c r="E32" s="53">
        <f>819+AK32+1335+1010</f>
        <v>3164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85"/>
      <c r="S32" s="85"/>
      <c r="T32" s="85"/>
      <c r="U32" s="85"/>
      <c r="V32" s="86"/>
      <c r="W32" s="86"/>
      <c r="X32" s="85"/>
      <c r="Y32" s="55"/>
      <c r="Z32" s="33"/>
      <c r="AA32" s="33"/>
      <c r="AB32" s="33"/>
      <c r="AC32" s="33"/>
      <c r="AD32" s="33"/>
      <c r="AE32" s="33"/>
      <c r="AF32" s="33"/>
      <c r="AG32" s="33"/>
      <c r="AH32" s="33"/>
      <c r="AI32" s="34"/>
      <c r="AJ32" s="34"/>
      <c r="AK32" s="54">
        <f t="shared" ref="AK32:AK40" si="2">SUM(F32:AJ32)</f>
        <v>0</v>
      </c>
      <c r="AL32" s="36"/>
      <c r="AM32" s="31"/>
    </row>
    <row r="33" spans="2:39" ht="18.75" x14ac:dyDescent="0.25">
      <c r="B33" s="162"/>
      <c r="C33" s="52" t="s">
        <v>30</v>
      </c>
      <c r="D33" s="165"/>
      <c r="E33" s="53">
        <f>565+AK33+950+630</f>
        <v>2145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85"/>
      <c r="S33" s="85"/>
      <c r="T33" s="85"/>
      <c r="U33" s="85"/>
      <c r="V33" s="86"/>
      <c r="W33" s="86"/>
      <c r="X33" s="85"/>
      <c r="Y33" s="55"/>
      <c r="Z33" s="33"/>
      <c r="AA33" s="33"/>
      <c r="AB33" s="33"/>
      <c r="AC33" s="33"/>
      <c r="AD33" s="33"/>
      <c r="AE33" s="33"/>
      <c r="AF33" s="33"/>
      <c r="AG33" s="33"/>
      <c r="AH33" s="33"/>
      <c r="AI33" s="34"/>
      <c r="AJ33" s="34"/>
      <c r="AK33" s="54">
        <f t="shared" si="2"/>
        <v>0</v>
      </c>
      <c r="AL33" s="36"/>
      <c r="AM33" s="31"/>
    </row>
    <row r="34" spans="2:39" ht="18.75" x14ac:dyDescent="0.25">
      <c r="B34" s="162"/>
      <c r="C34" s="52" t="s">
        <v>31</v>
      </c>
      <c r="D34" s="165"/>
      <c r="E34" s="53">
        <f>565+AK34+890+630</f>
        <v>2085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85"/>
      <c r="S34" s="85"/>
      <c r="T34" s="85"/>
      <c r="U34" s="85"/>
      <c r="V34" s="86"/>
      <c r="W34" s="86"/>
      <c r="X34" s="85"/>
      <c r="Y34" s="55"/>
      <c r="Z34" s="33"/>
      <c r="AA34" s="33"/>
      <c r="AB34" s="33"/>
      <c r="AC34" s="33"/>
      <c r="AD34" s="33"/>
      <c r="AE34" s="33"/>
      <c r="AF34" s="33"/>
      <c r="AG34" s="33"/>
      <c r="AH34" s="33"/>
      <c r="AI34" s="34"/>
      <c r="AJ34" s="34"/>
      <c r="AK34" s="54">
        <f t="shared" si="2"/>
        <v>0</v>
      </c>
      <c r="AL34" s="36"/>
      <c r="AM34" s="31"/>
    </row>
    <row r="35" spans="2:39" ht="18.75" x14ac:dyDescent="0.25">
      <c r="B35" s="162"/>
      <c r="C35" s="52" t="s">
        <v>32</v>
      </c>
      <c r="D35" s="165"/>
      <c r="E35" s="53">
        <f>975+AK35+1445+1295</f>
        <v>3715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85"/>
      <c r="S35" s="85"/>
      <c r="T35" s="85"/>
      <c r="U35" s="85"/>
      <c r="V35" s="86"/>
      <c r="W35" s="86"/>
      <c r="X35" s="85"/>
      <c r="Y35" s="55"/>
      <c r="Z35" s="33"/>
      <c r="AA35" s="33"/>
      <c r="AB35" s="33"/>
      <c r="AC35" s="33"/>
      <c r="AD35" s="33"/>
      <c r="AE35" s="33"/>
      <c r="AF35" s="33"/>
      <c r="AG35" s="33"/>
      <c r="AH35" s="33"/>
      <c r="AI35" s="34"/>
      <c r="AJ35" s="34"/>
      <c r="AK35" s="54">
        <f t="shared" si="2"/>
        <v>0</v>
      </c>
      <c r="AL35" s="36"/>
      <c r="AM35" s="31"/>
    </row>
    <row r="36" spans="2:39" ht="18.75" hidden="1" x14ac:dyDescent="0.25">
      <c r="B36" s="162"/>
      <c r="C36" s="52" t="s">
        <v>33</v>
      </c>
      <c r="D36" s="165"/>
      <c r="E36" s="53">
        <f t="shared" ref="E36:E40" si="3">AK36</f>
        <v>0</v>
      </c>
      <c r="F36" s="55"/>
      <c r="G36" s="55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16"/>
      <c r="W36" s="16"/>
      <c r="X36" s="55"/>
      <c r="Y36" s="55"/>
      <c r="Z36" s="55"/>
      <c r="AA36" s="55"/>
      <c r="AB36" s="55"/>
      <c r="AC36" s="55"/>
      <c r="AD36" s="55"/>
      <c r="AE36" s="55"/>
      <c r="AF36" s="33"/>
      <c r="AG36" s="33"/>
      <c r="AH36" s="33"/>
      <c r="AI36" s="34"/>
      <c r="AJ36" s="34"/>
      <c r="AK36" s="54">
        <f t="shared" si="2"/>
        <v>0</v>
      </c>
      <c r="AL36" s="36"/>
      <c r="AM36" s="31"/>
    </row>
    <row r="37" spans="2:39" ht="18.75" hidden="1" x14ac:dyDescent="0.25">
      <c r="B37" s="162"/>
      <c r="C37" s="52" t="s">
        <v>34</v>
      </c>
      <c r="D37" s="165"/>
      <c r="E37" s="53">
        <f t="shared" si="3"/>
        <v>0</v>
      </c>
      <c r="F37" s="33"/>
      <c r="G37" s="55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40"/>
      <c r="W37" s="40"/>
      <c r="X37" s="33"/>
      <c r="Y37" s="33"/>
      <c r="Z37" s="33"/>
      <c r="AA37" s="33"/>
      <c r="AB37" s="33"/>
      <c r="AC37" s="55"/>
      <c r="AD37" s="33"/>
      <c r="AE37" s="33"/>
      <c r="AF37" s="33"/>
      <c r="AG37" s="33"/>
      <c r="AH37" s="33"/>
      <c r="AI37" s="34"/>
      <c r="AJ37" s="34"/>
      <c r="AK37" s="54">
        <f t="shared" si="2"/>
        <v>0</v>
      </c>
      <c r="AL37" s="36"/>
      <c r="AM37" s="31"/>
    </row>
    <row r="38" spans="2:39" ht="18.75" hidden="1" x14ac:dyDescent="0.25">
      <c r="B38" s="162"/>
      <c r="C38" s="52" t="s">
        <v>35</v>
      </c>
      <c r="D38" s="165"/>
      <c r="E38" s="53">
        <f t="shared" si="3"/>
        <v>0</v>
      </c>
      <c r="F38" s="33"/>
      <c r="G38" s="55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40"/>
      <c r="W38" s="40"/>
      <c r="X38" s="33"/>
      <c r="Y38" s="33"/>
      <c r="Z38" s="33"/>
      <c r="AA38" s="33"/>
      <c r="AB38" s="33"/>
      <c r="AC38" s="55"/>
      <c r="AD38" s="33"/>
      <c r="AE38" s="33"/>
      <c r="AF38" s="33"/>
      <c r="AG38" s="33"/>
      <c r="AH38" s="33"/>
      <c r="AI38" s="34"/>
      <c r="AJ38" s="34"/>
      <c r="AK38" s="54">
        <f t="shared" si="2"/>
        <v>0</v>
      </c>
      <c r="AL38" s="36"/>
      <c r="AM38" s="31"/>
    </row>
    <row r="39" spans="2:39" ht="18.75" hidden="1" x14ac:dyDescent="0.25">
      <c r="B39" s="162"/>
      <c r="C39" s="52" t="s">
        <v>36</v>
      </c>
      <c r="D39" s="165"/>
      <c r="E39" s="53">
        <f t="shared" si="3"/>
        <v>0</v>
      </c>
      <c r="F39" s="33"/>
      <c r="G39" s="55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40"/>
      <c r="W39" s="40"/>
      <c r="X39" s="33"/>
      <c r="Y39" s="33"/>
      <c r="Z39" s="33"/>
      <c r="AA39" s="33"/>
      <c r="AB39" s="33"/>
      <c r="AC39" s="55"/>
      <c r="AD39" s="33"/>
      <c r="AE39" s="33"/>
      <c r="AF39" s="33"/>
      <c r="AG39" s="33"/>
      <c r="AH39" s="33"/>
      <c r="AI39" s="34"/>
      <c r="AJ39" s="34"/>
      <c r="AK39" s="54">
        <f t="shared" si="2"/>
        <v>0</v>
      </c>
      <c r="AL39" s="36"/>
      <c r="AM39" s="31"/>
    </row>
    <row r="40" spans="2:39" ht="18.75" x14ac:dyDescent="0.25">
      <c r="B40" s="163"/>
      <c r="C40" s="52" t="s">
        <v>37</v>
      </c>
      <c r="D40" s="166"/>
      <c r="E40" s="53">
        <f t="shared" si="3"/>
        <v>0</v>
      </c>
      <c r="F40" s="33"/>
      <c r="G40" s="55"/>
      <c r="H40" s="55"/>
      <c r="I40" s="55"/>
      <c r="J40" s="55"/>
      <c r="K40" s="55"/>
      <c r="L40" s="55"/>
      <c r="M40" s="33"/>
      <c r="N40" s="33"/>
      <c r="O40" s="33"/>
      <c r="P40" s="55"/>
      <c r="Q40" s="55"/>
      <c r="R40" s="55"/>
      <c r="S40" s="55"/>
      <c r="T40" s="33"/>
      <c r="U40" s="55"/>
      <c r="V40" s="40"/>
      <c r="W40" s="40"/>
      <c r="X40" s="33"/>
      <c r="Y40" s="33"/>
      <c r="Z40" s="33"/>
      <c r="AA40" s="33"/>
      <c r="AB40" s="33"/>
      <c r="AC40" s="55"/>
      <c r="AD40" s="33"/>
      <c r="AE40" s="33"/>
      <c r="AF40" s="33"/>
      <c r="AG40" s="55"/>
      <c r="AH40" s="55"/>
      <c r="AI40" s="56"/>
      <c r="AJ40" s="56"/>
      <c r="AK40" s="54">
        <f t="shared" si="2"/>
        <v>0</v>
      </c>
      <c r="AL40" s="36"/>
      <c r="AM40" s="31"/>
    </row>
    <row r="41" spans="2:39" ht="19.5" thickBot="1" x14ac:dyDescent="0.3">
      <c r="B41" s="16" t="s">
        <v>17</v>
      </c>
      <c r="C41" s="52" t="s">
        <v>38</v>
      </c>
      <c r="D41" s="31" t="s">
        <v>22</v>
      </c>
      <c r="E41" s="53">
        <f>SUM(E32:E40)</f>
        <v>11109</v>
      </c>
      <c r="F41" s="55">
        <f t="shared" ref="F41:AI41" si="4">SUM(F32:F40)</f>
        <v>0</v>
      </c>
      <c r="G41" s="55">
        <f t="shared" si="4"/>
        <v>0</v>
      </c>
      <c r="H41" s="55">
        <f t="shared" si="4"/>
        <v>0</v>
      </c>
      <c r="I41" s="55">
        <f t="shared" si="4"/>
        <v>0</v>
      </c>
      <c r="J41" s="55">
        <f t="shared" si="4"/>
        <v>0</v>
      </c>
      <c r="K41" s="55">
        <f t="shared" si="4"/>
        <v>0</v>
      </c>
      <c r="L41" s="55">
        <f t="shared" si="4"/>
        <v>0</v>
      </c>
      <c r="M41" s="55">
        <f t="shared" si="4"/>
        <v>0</v>
      </c>
      <c r="N41" s="55">
        <f t="shared" si="4"/>
        <v>0</v>
      </c>
      <c r="O41" s="55">
        <f t="shared" si="4"/>
        <v>0</v>
      </c>
      <c r="P41" s="55">
        <f t="shared" si="4"/>
        <v>0</v>
      </c>
      <c r="Q41" s="55">
        <f t="shared" si="4"/>
        <v>0</v>
      </c>
      <c r="R41" s="55">
        <f t="shared" si="4"/>
        <v>0</v>
      </c>
      <c r="S41" s="55">
        <f t="shared" si="4"/>
        <v>0</v>
      </c>
      <c r="T41" s="55">
        <f t="shared" si="4"/>
        <v>0</v>
      </c>
      <c r="U41" s="55">
        <f t="shared" si="4"/>
        <v>0</v>
      </c>
      <c r="V41" s="40">
        <f>SUM(V32:V40)</f>
        <v>0</v>
      </c>
      <c r="W41" s="40">
        <f t="shared" si="4"/>
        <v>0</v>
      </c>
      <c r="X41" s="55">
        <f t="shared" si="4"/>
        <v>0</v>
      </c>
      <c r="Y41" s="55">
        <f t="shared" si="4"/>
        <v>0</v>
      </c>
      <c r="Z41" s="55">
        <f t="shared" si="4"/>
        <v>0</v>
      </c>
      <c r="AA41" s="55">
        <f t="shared" si="4"/>
        <v>0</v>
      </c>
      <c r="AB41" s="55">
        <f t="shared" si="4"/>
        <v>0</v>
      </c>
      <c r="AC41" s="55">
        <f t="shared" si="4"/>
        <v>0</v>
      </c>
      <c r="AD41" s="55">
        <f t="shared" si="4"/>
        <v>0</v>
      </c>
      <c r="AE41" s="55">
        <f t="shared" si="4"/>
        <v>0</v>
      </c>
      <c r="AF41" s="55">
        <f t="shared" si="4"/>
        <v>0</v>
      </c>
      <c r="AG41" s="55">
        <f t="shared" si="4"/>
        <v>0</v>
      </c>
      <c r="AH41" s="55">
        <f t="shared" si="4"/>
        <v>0</v>
      </c>
      <c r="AI41" s="56">
        <f t="shared" si="4"/>
        <v>0</v>
      </c>
      <c r="AJ41" s="56">
        <f>SUM(AJ32:AJ40)</f>
        <v>0</v>
      </c>
      <c r="AK41" s="54">
        <f>SUM(AK32:AK40)</f>
        <v>0</v>
      </c>
      <c r="AL41" s="36"/>
      <c r="AM41" s="31"/>
    </row>
    <row r="42" spans="2:39" ht="21" thickBot="1" x14ac:dyDescent="0.3">
      <c r="B42" s="145" t="s">
        <v>124</v>
      </c>
      <c r="C42" s="146"/>
      <c r="D42" s="146"/>
      <c r="E42" s="146" t="s">
        <v>28</v>
      </c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8"/>
    </row>
    <row r="43" spans="2:39" ht="39.75" customHeight="1" x14ac:dyDescent="0.25">
      <c r="B43" s="149" t="s">
        <v>20</v>
      </c>
      <c r="C43" s="150"/>
      <c r="D43" s="88"/>
      <c r="E43" s="43"/>
      <c r="F43" s="33"/>
      <c r="G43" s="33"/>
      <c r="H43" s="48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4"/>
      <c r="AJ43" s="34"/>
      <c r="AK43" s="35"/>
      <c r="AL43" s="36"/>
      <c r="AM43" s="88"/>
    </row>
    <row r="44" spans="2:39" ht="18.75" x14ac:dyDescent="0.25">
      <c r="B44" s="30"/>
      <c r="C44" s="89" t="s">
        <v>16</v>
      </c>
      <c r="D44" s="87" t="s">
        <v>22</v>
      </c>
      <c r="E44" s="43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35"/>
      <c r="AL44" s="51">
        <f>SUM(F44:AJ44)</f>
        <v>0</v>
      </c>
      <c r="AM44" s="88"/>
    </row>
    <row r="45" spans="2:39" ht="18.75" x14ac:dyDescent="0.25">
      <c r="B45" s="161" t="s">
        <v>21</v>
      </c>
      <c r="C45" s="52" t="s">
        <v>29</v>
      </c>
      <c r="D45" s="164" t="s">
        <v>22</v>
      </c>
      <c r="E45" s="53">
        <f>AK45+430+70</f>
        <v>500</v>
      </c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85"/>
      <c r="S45" s="85"/>
      <c r="T45" s="85"/>
      <c r="U45" s="85"/>
      <c r="V45" s="86"/>
      <c r="W45" s="86"/>
      <c r="X45" s="85"/>
      <c r="Y45" s="55"/>
      <c r="Z45" s="33"/>
      <c r="AA45" s="33"/>
      <c r="AB45" s="33"/>
      <c r="AC45" s="33"/>
      <c r="AD45" s="33"/>
      <c r="AE45" s="33"/>
      <c r="AF45" s="33"/>
      <c r="AG45" s="33"/>
      <c r="AH45" s="33"/>
      <c r="AI45" s="34"/>
      <c r="AJ45" s="34"/>
      <c r="AK45" s="54">
        <f t="shared" ref="AK45:AK53" si="5">SUM(F45:AJ45)</f>
        <v>0</v>
      </c>
      <c r="AL45" s="36"/>
      <c r="AM45" s="88"/>
    </row>
    <row r="46" spans="2:39" ht="18.75" x14ac:dyDescent="0.25">
      <c r="B46" s="162"/>
      <c r="C46" s="52" t="s">
        <v>126</v>
      </c>
      <c r="D46" s="165"/>
      <c r="E46" s="53">
        <f>AK46+100</f>
        <v>100</v>
      </c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85"/>
      <c r="S46" s="85"/>
      <c r="T46" s="85"/>
      <c r="U46" s="85"/>
      <c r="V46" s="86"/>
      <c r="W46" s="86"/>
      <c r="X46" s="85"/>
      <c r="Y46" s="55"/>
      <c r="Z46" s="33"/>
      <c r="AA46" s="33"/>
      <c r="AB46" s="33"/>
      <c r="AC46" s="33"/>
      <c r="AD46" s="33"/>
      <c r="AE46" s="33"/>
      <c r="AF46" s="33"/>
      <c r="AG46" s="33"/>
      <c r="AH46" s="33"/>
      <c r="AI46" s="34"/>
      <c r="AJ46" s="34"/>
      <c r="AK46" s="54">
        <f t="shared" si="5"/>
        <v>0</v>
      </c>
      <c r="AL46" s="36"/>
      <c r="AM46" s="88"/>
    </row>
    <row r="47" spans="2:39" ht="18.75" x14ac:dyDescent="0.25">
      <c r="B47" s="162"/>
      <c r="C47" s="52" t="s">
        <v>31</v>
      </c>
      <c r="D47" s="165"/>
      <c r="E47" s="53">
        <f t="shared" ref="E47:E52" si="6">AK47</f>
        <v>0</v>
      </c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5"/>
      <c r="S47" s="85"/>
      <c r="T47" s="85"/>
      <c r="U47" s="85"/>
      <c r="V47" s="86"/>
      <c r="W47" s="86"/>
      <c r="X47" s="85"/>
      <c r="Y47" s="55"/>
      <c r="Z47" s="33"/>
      <c r="AA47" s="33"/>
      <c r="AB47" s="33"/>
      <c r="AC47" s="33"/>
      <c r="AD47" s="33"/>
      <c r="AE47" s="33"/>
      <c r="AF47" s="33"/>
      <c r="AG47" s="33"/>
      <c r="AH47" s="33"/>
      <c r="AI47" s="34"/>
      <c r="AJ47" s="34"/>
      <c r="AK47" s="54">
        <f t="shared" si="5"/>
        <v>0</v>
      </c>
      <c r="AL47" s="36"/>
      <c r="AM47" s="88"/>
    </row>
    <row r="48" spans="2:39" ht="18.75" x14ac:dyDescent="0.25">
      <c r="B48" s="162"/>
      <c r="C48" s="52" t="s">
        <v>130</v>
      </c>
      <c r="D48" s="165"/>
      <c r="E48" s="53">
        <f>AK48+90</f>
        <v>3620</v>
      </c>
      <c r="F48" s="33">
        <v>120</v>
      </c>
      <c r="G48" s="33">
        <v>120</v>
      </c>
      <c r="H48" s="33"/>
      <c r="I48" s="33"/>
      <c r="J48" s="33">
        <v>150</v>
      </c>
      <c r="K48" s="33">
        <v>130</v>
      </c>
      <c r="L48" s="33">
        <v>160</v>
      </c>
      <c r="M48" s="33">
        <v>130</v>
      </c>
      <c r="N48" s="33">
        <v>120</v>
      </c>
      <c r="O48" s="33">
        <v>100</v>
      </c>
      <c r="P48" s="33">
        <v>140</v>
      </c>
      <c r="Q48" s="33">
        <v>120</v>
      </c>
      <c r="R48" s="85"/>
      <c r="S48" s="85">
        <v>100</v>
      </c>
      <c r="T48" s="85">
        <v>70</v>
      </c>
      <c r="U48" s="85"/>
      <c r="V48" s="86">
        <v>150</v>
      </c>
      <c r="W48" s="86">
        <v>150</v>
      </c>
      <c r="X48" s="85">
        <v>150</v>
      </c>
      <c r="Y48" s="55">
        <v>150</v>
      </c>
      <c r="Z48" s="33">
        <v>200</v>
      </c>
      <c r="AA48" s="33"/>
      <c r="AB48" s="33">
        <v>100</v>
      </c>
      <c r="AC48" s="33">
        <v>150</v>
      </c>
      <c r="AD48" s="33">
        <v>180</v>
      </c>
      <c r="AE48" s="33">
        <v>180</v>
      </c>
      <c r="AF48" s="33">
        <v>120</v>
      </c>
      <c r="AG48" s="33">
        <v>180</v>
      </c>
      <c r="AH48" s="33"/>
      <c r="AI48" s="34">
        <v>180</v>
      </c>
      <c r="AJ48" s="34">
        <v>180</v>
      </c>
      <c r="AK48" s="54">
        <f t="shared" si="5"/>
        <v>3530</v>
      </c>
      <c r="AL48" s="36"/>
      <c r="AM48" s="88"/>
    </row>
    <row r="49" spans="1:40" ht="18.75" hidden="1" x14ac:dyDescent="0.25">
      <c r="B49" s="162"/>
      <c r="C49" s="52" t="s">
        <v>33</v>
      </c>
      <c r="D49" s="165"/>
      <c r="E49" s="53">
        <f t="shared" si="6"/>
        <v>0</v>
      </c>
      <c r="F49" s="55"/>
      <c r="G49" s="55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89"/>
      <c r="W49" s="89"/>
      <c r="X49" s="55"/>
      <c r="Y49" s="55"/>
      <c r="Z49" s="55"/>
      <c r="AA49" s="55"/>
      <c r="AB49" s="55"/>
      <c r="AC49" s="55"/>
      <c r="AD49" s="55"/>
      <c r="AE49" s="55"/>
      <c r="AF49" s="33"/>
      <c r="AG49" s="33"/>
      <c r="AH49" s="33"/>
      <c r="AI49" s="34"/>
      <c r="AJ49" s="34"/>
      <c r="AK49" s="54">
        <f t="shared" si="5"/>
        <v>0</v>
      </c>
      <c r="AL49" s="36"/>
      <c r="AM49" s="88"/>
    </row>
    <row r="50" spans="1:40" ht="18.75" hidden="1" x14ac:dyDescent="0.25">
      <c r="B50" s="162"/>
      <c r="C50" s="52" t="s">
        <v>34</v>
      </c>
      <c r="D50" s="165"/>
      <c r="E50" s="53">
        <f t="shared" si="6"/>
        <v>0</v>
      </c>
      <c r="F50" s="33"/>
      <c r="G50" s="55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40"/>
      <c r="W50" s="40"/>
      <c r="X50" s="33"/>
      <c r="Y50" s="33"/>
      <c r="Z50" s="33"/>
      <c r="AA50" s="33"/>
      <c r="AB50" s="33"/>
      <c r="AC50" s="55"/>
      <c r="AD50" s="33"/>
      <c r="AE50" s="33"/>
      <c r="AF50" s="33"/>
      <c r="AG50" s="33"/>
      <c r="AH50" s="33"/>
      <c r="AI50" s="34"/>
      <c r="AJ50" s="34"/>
      <c r="AK50" s="54">
        <f t="shared" si="5"/>
        <v>0</v>
      </c>
      <c r="AL50" s="36"/>
      <c r="AM50" s="88"/>
    </row>
    <row r="51" spans="1:40" ht="18.75" hidden="1" x14ac:dyDescent="0.25">
      <c r="B51" s="162"/>
      <c r="C51" s="52" t="s">
        <v>35</v>
      </c>
      <c r="D51" s="165"/>
      <c r="E51" s="53">
        <f t="shared" si="6"/>
        <v>0</v>
      </c>
      <c r="F51" s="33"/>
      <c r="G51" s="55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40"/>
      <c r="W51" s="40"/>
      <c r="X51" s="33"/>
      <c r="Y51" s="33"/>
      <c r="Z51" s="33"/>
      <c r="AA51" s="33"/>
      <c r="AB51" s="33"/>
      <c r="AC51" s="55"/>
      <c r="AD51" s="33"/>
      <c r="AE51" s="33"/>
      <c r="AF51" s="33"/>
      <c r="AG51" s="33"/>
      <c r="AH51" s="33"/>
      <c r="AI51" s="34"/>
      <c r="AJ51" s="34"/>
      <c r="AK51" s="54">
        <f t="shared" si="5"/>
        <v>0</v>
      </c>
      <c r="AL51" s="36"/>
      <c r="AM51" s="88"/>
    </row>
    <row r="52" spans="1:40" ht="18.75" hidden="1" x14ac:dyDescent="0.25">
      <c r="B52" s="162"/>
      <c r="C52" s="52" t="s">
        <v>36</v>
      </c>
      <c r="D52" s="165"/>
      <c r="E52" s="53">
        <f t="shared" si="6"/>
        <v>0</v>
      </c>
      <c r="F52" s="33"/>
      <c r="G52" s="55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40"/>
      <c r="W52" s="40"/>
      <c r="X52" s="33"/>
      <c r="Y52" s="33"/>
      <c r="Z52" s="33"/>
      <c r="AA52" s="33"/>
      <c r="AB52" s="33"/>
      <c r="AC52" s="55"/>
      <c r="AD52" s="33"/>
      <c r="AE52" s="33"/>
      <c r="AF52" s="33"/>
      <c r="AG52" s="33"/>
      <c r="AH52" s="33"/>
      <c r="AI52" s="34"/>
      <c r="AJ52" s="34"/>
      <c r="AK52" s="54">
        <f t="shared" si="5"/>
        <v>0</v>
      </c>
      <c r="AL52" s="36"/>
      <c r="AM52" s="88"/>
    </row>
    <row r="53" spans="1:40" ht="18.75" x14ac:dyDescent="0.25">
      <c r="B53" s="163"/>
      <c r="C53" s="52" t="s">
        <v>125</v>
      </c>
      <c r="D53" s="166"/>
      <c r="E53" s="53">
        <f>AK53+340</f>
        <v>340</v>
      </c>
      <c r="F53" s="33"/>
      <c r="G53" s="55"/>
      <c r="H53" s="55"/>
      <c r="I53" s="55"/>
      <c r="J53" s="55"/>
      <c r="K53" s="55"/>
      <c r="L53" s="55"/>
      <c r="M53" s="33"/>
      <c r="N53" s="33"/>
      <c r="O53" s="33"/>
      <c r="P53" s="33"/>
      <c r="Q53" s="55"/>
      <c r="R53" s="55"/>
      <c r="S53" s="55"/>
      <c r="T53" s="33"/>
      <c r="U53" s="55"/>
      <c r="V53" s="40"/>
      <c r="W53" s="40"/>
      <c r="X53" s="33"/>
      <c r="Y53" s="33"/>
      <c r="Z53" s="33"/>
      <c r="AA53" s="33"/>
      <c r="AB53" s="33"/>
      <c r="AC53" s="55"/>
      <c r="AD53" s="33"/>
      <c r="AE53" s="33"/>
      <c r="AF53" s="33"/>
      <c r="AG53" s="55"/>
      <c r="AH53" s="55"/>
      <c r="AI53" s="56"/>
      <c r="AJ53" s="56"/>
      <c r="AK53" s="54">
        <f t="shared" si="5"/>
        <v>0</v>
      </c>
      <c r="AL53" s="36"/>
      <c r="AM53" s="88"/>
    </row>
    <row r="54" spans="1:40" ht="18.75" x14ac:dyDescent="0.25">
      <c r="B54" s="89" t="s">
        <v>17</v>
      </c>
      <c r="C54" s="52" t="s">
        <v>38</v>
      </c>
      <c r="D54" s="88" t="s">
        <v>22</v>
      </c>
      <c r="E54" s="53">
        <f>SUM(E45:E53)</f>
        <v>4560</v>
      </c>
      <c r="F54" s="55">
        <f t="shared" ref="F54:U54" si="7">SUM(F45:F53)</f>
        <v>120</v>
      </c>
      <c r="G54" s="55">
        <f t="shared" si="7"/>
        <v>120</v>
      </c>
      <c r="H54" s="55">
        <f t="shared" si="7"/>
        <v>0</v>
      </c>
      <c r="I54" s="55">
        <f t="shared" si="7"/>
        <v>0</v>
      </c>
      <c r="J54" s="55">
        <f t="shared" si="7"/>
        <v>150</v>
      </c>
      <c r="K54" s="55">
        <f t="shared" si="7"/>
        <v>130</v>
      </c>
      <c r="L54" s="55">
        <f t="shared" si="7"/>
        <v>160</v>
      </c>
      <c r="M54" s="55">
        <f t="shared" si="7"/>
        <v>130</v>
      </c>
      <c r="N54" s="55">
        <f t="shared" si="7"/>
        <v>120</v>
      </c>
      <c r="O54" s="55">
        <f t="shared" si="7"/>
        <v>100</v>
      </c>
      <c r="P54" s="55">
        <f t="shared" si="7"/>
        <v>140</v>
      </c>
      <c r="Q54" s="55">
        <f t="shared" si="7"/>
        <v>120</v>
      </c>
      <c r="R54" s="55">
        <f t="shared" si="7"/>
        <v>0</v>
      </c>
      <c r="S54" s="55">
        <f t="shared" si="7"/>
        <v>100</v>
      </c>
      <c r="T54" s="55">
        <f t="shared" si="7"/>
        <v>70</v>
      </c>
      <c r="U54" s="55">
        <f t="shared" si="7"/>
        <v>0</v>
      </c>
      <c r="V54" s="40">
        <f>SUM(V45:V53)</f>
        <v>150</v>
      </c>
      <c r="W54" s="40">
        <f t="shared" ref="W54:AI54" si="8">SUM(W45:W53)</f>
        <v>150</v>
      </c>
      <c r="X54" s="55">
        <f t="shared" si="8"/>
        <v>150</v>
      </c>
      <c r="Y54" s="55">
        <f t="shared" si="8"/>
        <v>150</v>
      </c>
      <c r="Z54" s="55">
        <f t="shared" si="8"/>
        <v>200</v>
      </c>
      <c r="AA54" s="55">
        <f t="shared" si="8"/>
        <v>0</v>
      </c>
      <c r="AB54" s="55">
        <f t="shared" si="8"/>
        <v>100</v>
      </c>
      <c r="AC54" s="55">
        <f t="shared" si="8"/>
        <v>150</v>
      </c>
      <c r="AD54" s="55">
        <f t="shared" si="8"/>
        <v>180</v>
      </c>
      <c r="AE54" s="55">
        <f t="shared" si="8"/>
        <v>180</v>
      </c>
      <c r="AF54" s="55">
        <f t="shared" si="8"/>
        <v>120</v>
      </c>
      <c r="AG54" s="55">
        <f t="shared" si="8"/>
        <v>180</v>
      </c>
      <c r="AH54" s="55">
        <f t="shared" si="8"/>
        <v>0</v>
      </c>
      <c r="AI54" s="56">
        <f t="shared" si="8"/>
        <v>180</v>
      </c>
      <c r="AJ54" s="56">
        <f>SUM(AJ45:AJ53)</f>
        <v>180</v>
      </c>
      <c r="AK54" s="54">
        <f>SUM(AK45:AK53)</f>
        <v>3530</v>
      </c>
      <c r="AL54" s="36"/>
      <c r="AM54" s="88"/>
    </row>
    <row r="55" spans="1:40" s="13" customFormat="1" ht="21" thickBot="1" x14ac:dyDescent="0.3">
      <c r="A55" s="30"/>
      <c r="B55" s="142" t="s">
        <v>48</v>
      </c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4"/>
      <c r="AN55" s="21"/>
    </row>
    <row r="56" spans="1:40" ht="20.25" x14ac:dyDescent="0.25">
      <c r="B56" s="145" t="s">
        <v>27</v>
      </c>
      <c r="C56" s="146"/>
      <c r="D56" s="146"/>
      <c r="E56" s="146" t="s">
        <v>28</v>
      </c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8"/>
    </row>
    <row r="57" spans="1:40" ht="18.75" x14ac:dyDescent="0.25">
      <c r="B57" s="149" t="s">
        <v>20</v>
      </c>
      <c r="C57" s="150"/>
      <c r="D57" s="31"/>
      <c r="E57" s="4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5"/>
      <c r="AL57" s="36"/>
      <c r="AM57" s="31"/>
    </row>
    <row r="58" spans="1:40" ht="18.75" x14ac:dyDescent="0.25">
      <c r="B58" s="30"/>
      <c r="C58" s="16" t="s">
        <v>16</v>
      </c>
      <c r="D58" s="49" t="s">
        <v>22</v>
      </c>
      <c r="E58" s="43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7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35"/>
      <c r="AL58" s="51">
        <f>SUM(F58:AJ58)</f>
        <v>0</v>
      </c>
      <c r="AM58" s="31"/>
    </row>
    <row r="59" spans="1:40" ht="18.75" x14ac:dyDescent="0.25">
      <c r="B59" s="161" t="s">
        <v>21</v>
      </c>
      <c r="C59" s="52" t="s">
        <v>29</v>
      </c>
      <c r="D59" s="164" t="s">
        <v>22</v>
      </c>
      <c r="E59" s="53">
        <f>+AK59</f>
        <v>0</v>
      </c>
      <c r="F59" s="55"/>
      <c r="G59" s="55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16"/>
      <c r="W59" s="16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4"/>
      <c r="AJ59" s="34"/>
      <c r="AK59" s="54">
        <f t="shared" ref="AK59:AK68" si="9">SUM(F59:AJ59)</f>
        <v>0</v>
      </c>
      <c r="AL59" s="36"/>
      <c r="AM59" s="31"/>
    </row>
    <row r="60" spans="1:40" ht="18.75" x14ac:dyDescent="0.25">
      <c r="B60" s="162"/>
      <c r="C60" s="52" t="s">
        <v>30</v>
      </c>
      <c r="D60" s="165"/>
      <c r="E60" s="53">
        <f>0+AK60</f>
        <v>0</v>
      </c>
      <c r="F60" s="55"/>
      <c r="G60" s="55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16"/>
      <c r="W60" s="16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4"/>
      <c r="AJ60" s="34"/>
      <c r="AK60" s="54">
        <f t="shared" si="9"/>
        <v>0</v>
      </c>
      <c r="AL60" s="36"/>
      <c r="AM60" s="31"/>
    </row>
    <row r="61" spans="1:40" ht="18.75" x14ac:dyDescent="0.25">
      <c r="B61" s="162"/>
      <c r="C61" s="52" t="s">
        <v>31</v>
      </c>
      <c r="D61" s="165"/>
      <c r="E61" s="53">
        <f>+AK61</f>
        <v>0</v>
      </c>
      <c r="F61" s="55"/>
      <c r="G61" s="55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16"/>
      <c r="W61" s="16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4"/>
      <c r="AJ61" s="34"/>
      <c r="AK61" s="54">
        <f t="shared" si="9"/>
        <v>0</v>
      </c>
      <c r="AL61" s="36"/>
      <c r="AM61" s="31"/>
    </row>
    <row r="62" spans="1:40" ht="18.75" x14ac:dyDescent="0.25">
      <c r="B62" s="162"/>
      <c r="C62" s="52" t="s">
        <v>132</v>
      </c>
      <c r="D62" s="165"/>
      <c r="E62" s="53">
        <f>0+AK62</f>
        <v>519</v>
      </c>
      <c r="F62" s="55"/>
      <c r="G62" s="55"/>
      <c r="H62" s="55"/>
      <c r="I62" s="55"/>
      <c r="J62" s="55"/>
      <c r="K62" s="33"/>
      <c r="L62" s="55"/>
      <c r="M62" s="55"/>
      <c r="N62" s="55"/>
      <c r="O62" s="55"/>
      <c r="P62" s="55"/>
      <c r="Q62" s="55"/>
      <c r="R62" s="55"/>
      <c r="S62" s="33">
        <v>30</v>
      </c>
      <c r="T62" s="55">
        <v>24</v>
      </c>
      <c r="U62" s="33">
        <v>45</v>
      </c>
      <c r="V62" s="16"/>
      <c r="W62" s="16">
        <v>60</v>
      </c>
      <c r="X62" s="55">
        <v>60</v>
      </c>
      <c r="Y62" s="33"/>
      <c r="Z62" s="33"/>
      <c r="AA62" s="33"/>
      <c r="AB62" s="33"/>
      <c r="AC62" s="33">
        <v>70</v>
      </c>
      <c r="AD62" s="33">
        <v>40</v>
      </c>
      <c r="AE62" s="33">
        <v>60</v>
      </c>
      <c r="AF62" s="33"/>
      <c r="AG62" s="33"/>
      <c r="AH62" s="33">
        <v>60</v>
      </c>
      <c r="AI62" s="34"/>
      <c r="AJ62" s="34">
        <v>70</v>
      </c>
      <c r="AK62" s="54">
        <f t="shared" si="9"/>
        <v>519</v>
      </c>
      <c r="AL62" s="36"/>
      <c r="AM62" s="31"/>
    </row>
    <row r="63" spans="1:40" ht="18.75" x14ac:dyDescent="0.25">
      <c r="B63" s="162"/>
      <c r="C63" s="52" t="s">
        <v>40</v>
      </c>
      <c r="D63" s="165"/>
      <c r="E63" s="53">
        <f>682+AK63</f>
        <v>1201</v>
      </c>
      <c r="F63" s="55"/>
      <c r="G63" s="55"/>
      <c r="H63" s="55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>
        <v>30</v>
      </c>
      <c r="T63" s="33">
        <v>24</v>
      </c>
      <c r="U63" s="33">
        <v>45</v>
      </c>
      <c r="V63" s="16"/>
      <c r="W63" s="16">
        <v>60</v>
      </c>
      <c r="X63" s="33">
        <v>60</v>
      </c>
      <c r="Y63" s="33"/>
      <c r="Z63" s="33"/>
      <c r="AA63" s="33"/>
      <c r="AB63" s="33"/>
      <c r="AC63" s="33">
        <v>70</v>
      </c>
      <c r="AD63" s="33">
        <v>40</v>
      </c>
      <c r="AE63" s="33">
        <v>60</v>
      </c>
      <c r="AF63" s="55"/>
      <c r="AG63" s="55"/>
      <c r="AH63" s="33">
        <v>60</v>
      </c>
      <c r="AI63" s="56"/>
      <c r="AJ63" s="34">
        <v>70</v>
      </c>
      <c r="AK63" s="54">
        <f t="shared" si="9"/>
        <v>519</v>
      </c>
      <c r="AL63" s="36"/>
      <c r="AM63" s="31"/>
    </row>
    <row r="64" spans="1:40" ht="18.75" hidden="1" x14ac:dyDescent="0.25">
      <c r="B64" s="162"/>
      <c r="C64" s="52" t="s">
        <v>34</v>
      </c>
      <c r="D64" s="165"/>
      <c r="E64" s="53">
        <v>0</v>
      </c>
      <c r="F64" s="55"/>
      <c r="G64" s="55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40"/>
      <c r="W64" s="40"/>
      <c r="X64" s="33"/>
      <c r="Y64" s="33"/>
      <c r="Z64" s="33"/>
      <c r="AA64" s="33"/>
      <c r="AB64" s="33"/>
      <c r="AC64" s="33"/>
      <c r="AD64" s="55"/>
      <c r="AE64" s="55"/>
      <c r="AF64" s="55"/>
      <c r="AG64" s="33"/>
      <c r="AH64" s="33"/>
      <c r="AI64" s="34"/>
      <c r="AJ64" s="34"/>
      <c r="AK64" s="54">
        <f t="shared" si="9"/>
        <v>0</v>
      </c>
      <c r="AL64" s="36"/>
      <c r="AM64" s="31"/>
    </row>
    <row r="65" spans="2:39" ht="18.75" x14ac:dyDescent="0.25">
      <c r="B65" s="162"/>
      <c r="C65" s="52" t="s">
        <v>49</v>
      </c>
      <c r="D65" s="165"/>
      <c r="E65" s="53">
        <f>577+AK65</f>
        <v>577</v>
      </c>
      <c r="F65" s="55"/>
      <c r="G65" s="55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40"/>
      <c r="W65" s="40"/>
      <c r="X65" s="33"/>
      <c r="Y65" s="33"/>
      <c r="Z65" s="33"/>
      <c r="AA65" s="33"/>
      <c r="AB65" s="33"/>
      <c r="AC65" s="55"/>
      <c r="AD65" s="55"/>
      <c r="AE65" s="55"/>
      <c r="AF65" s="55"/>
      <c r="AG65" s="55"/>
      <c r="AH65" s="55"/>
      <c r="AI65" s="56"/>
      <c r="AJ65" s="56"/>
      <c r="AK65" s="54">
        <f t="shared" si="9"/>
        <v>0</v>
      </c>
      <c r="AL65" s="36"/>
      <c r="AM65" s="31"/>
    </row>
    <row r="66" spans="2:39" ht="18.75" hidden="1" x14ac:dyDescent="0.25">
      <c r="B66" s="162"/>
      <c r="C66" s="52" t="s">
        <v>35</v>
      </c>
      <c r="D66" s="165"/>
      <c r="E66" s="53">
        <v>0</v>
      </c>
      <c r="F66" s="33"/>
      <c r="G66" s="55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40"/>
      <c r="W66" s="40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4"/>
      <c r="AJ66" s="34"/>
      <c r="AK66" s="54">
        <f t="shared" si="9"/>
        <v>0</v>
      </c>
      <c r="AL66" s="36"/>
      <c r="AM66" s="31"/>
    </row>
    <row r="67" spans="2:39" ht="18.75" hidden="1" x14ac:dyDescent="0.25">
      <c r="B67" s="162"/>
      <c r="C67" s="52" t="s">
        <v>36</v>
      </c>
      <c r="D67" s="165"/>
      <c r="E67" s="53">
        <v>0</v>
      </c>
      <c r="F67" s="33"/>
      <c r="G67" s="55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40"/>
      <c r="W67" s="40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4"/>
      <c r="AJ67" s="34"/>
      <c r="AK67" s="54">
        <f t="shared" si="9"/>
        <v>0</v>
      </c>
      <c r="AL67" s="36"/>
      <c r="AM67" s="31"/>
    </row>
    <row r="68" spans="2:39" ht="18.75" hidden="1" x14ac:dyDescent="0.25">
      <c r="B68" s="163"/>
      <c r="C68" s="52" t="s">
        <v>37</v>
      </c>
      <c r="D68" s="166"/>
      <c r="E68" s="53">
        <f>+AK68</f>
        <v>0</v>
      </c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16"/>
      <c r="W68" s="16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4"/>
      <c r="AJ68" s="34"/>
      <c r="AK68" s="54">
        <f t="shared" si="9"/>
        <v>0</v>
      </c>
      <c r="AL68" s="36"/>
      <c r="AM68" s="31"/>
    </row>
    <row r="69" spans="2:39" ht="19.5" thickBot="1" x14ac:dyDescent="0.3">
      <c r="B69" s="16" t="s">
        <v>17</v>
      </c>
      <c r="C69" s="52" t="s">
        <v>38</v>
      </c>
      <c r="D69" s="31" t="s">
        <v>22</v>
      </c>
      <c r="E69" s="53">
        <f>SUM(E59:E68)</f>
        <v>2297</v>
      </c>
      <c r="F69" s="55">
        <f t="shared" ref="F69:U69" si="10">SUM(F59:F68)</f>
        <v>0</v>
      </c>
      <c r="G69" s="55">
        <f t="shared" si="10"/>
        <v>0</v>
      </c>
      <c r="H69" s="55">
        <f t="shared" si="10"/>
        <v>0</v>
      </c>
      <c r="I69" s="55">
        <f t="shared" si="10"/>
        <v>0</v>
      </c>
      <c r="J69" s="55">
        <f t="shared" si="10"/>
        <v>0</v>
      </c>
      <c r="K69" s="55">
        <f t="shared" si="10"/>
        <v>0</v>
      </c>
      <c r="L69" s="55">
        <f t="shared" si="10"/>
        <v>0</v>
      </c>
      <c r="M69" s="55">
        <f t="shared" si="10"/>
        <v>0</v>
      </c>
      <c r="N69" s="55">
        <f t="shared" si="10"/>
        <v>0</v>
      </c>
      <c r="O69" s="55">
        <f t="shared" si="10"/>
        <v>0</v>
      </c>
      <c r="P69" s="55">
        <f t="shared" si="10"/>
        <v>0</v>
      </c>
      <c r="Q69" s="55">
        <f t="shared" si="10"/>
        <v>0</v>
      </c>
      <c r="R69" s="55">
        <f t="shared" si="10"/>
        <v>0</v>
      </c>
      <c r="S69" s="55">
        <f t="shared" si="10"/>
        <v>60</v>
      </c>
      <c r="T69" s="55">
        <f t="shared" si="10"/>
        <v>48</v>
      </c>
      <c r="U69" s="55">
        <f t="shared" si="10"/>
        <v>90</v>
      </c>
      <c r="V69" s="40">
        <f>SUM(V59:V68)</f>
        <v>0</v>
      </c>
      <c r="W69" s="40">
        <f t="shared" ref="W69:AI69" si="11">SUM(W59:W68)</f>
        <v>120</v>
      </c>
      <c r="X69" s="55">
        <f t="shared" si="11"/>
        <v>120</v>
      </c>
      <c r="Y69" s="55">
        <f t="shared" si="11"/>
        <v>0</v>
      </c>
      <c r="Z69" s="55">
        <f t="shared" si="11"/>
        <v>0</v>
      </c>
      <c r="AA69" s="55">
        <f t="shared" si="11"/>
        <v>0</v>
      </c>
      <c r="AB69" s="55">
        <f t="shared" si="11"/>
        <v>0</v>
      </c>
      <c r="AC69" s="55">
        <f t="shared" si="11"/>
        <v>140</v>
      </c>
      <c r="AD69" s="55">
        <f t="shared" si="11"/>
        <v>80</v>
      </c>
      <c r="AE69" s="55">
        <f t="shared" si="11"/>
        <v>120</v>
      </c>
      <c r="AF69" s="55">
        <f t="shared" si="11"/>
        <v>0</v>
      </c>
      <c r="AG69" s="55">
        <f t="shared" si="11"/>
        <v>0</v>
      </c>
      <c r="AH69" s="55">
        <f t="shared" si="11"/>
        <v>120</v>
      </c>
      <c r="AI69" s="56">
        <f t="shared" si="11"/>
        <v>0</v>
      </c>
      <c r="AJ69" s="56">
        <f>SUM(AJ59:AJ68)</f>
        <v>140</v>
      </c>
      <c r="AK69" s="54">
        <f>SUM(AK59:AK68)</f>
        <v>1038</v>
      </c>
      <c r="AL69" s="36"/>
      <c r="AM69" s="31"/>
    </row>
    <row r="70" spans="2:39" ht="21" thickBot="1" x14ac:dyDescent="0.3">
      <c r="B70" s="145" t="s">
        <v>41</v>
      </c>
      <c r="C70" s="146"/>
      <c r="D70" s="146"/>
      <c r="E70" s="146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8"/>
    </row>
    <row r="71" spans="2:39" ht="21" thickBot="1" x14ac:dyDescent="0.3">
      <c r="B71" s="145" t="s">
        <v>50</v>
      </c>
      <c r="C71" s="146"/>
      <c r="D71" s="146"/>
      <c r="E71" s="146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8"/>
    </row>
    <row r="72" spans="2:39" ht="18.75" x14ac:dyDescent="0.25">
      <c r="B72" s="149" t="s">
        <v>20</v>
      </c>
      <c r="C72" s="150"/>
      <c r="D72" s="31"/>
      <c r="E72" s="32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4"/>
      <c r="AJ72" s="34"/>
      <c r="AK72" s="35"/>
      <c r="AL72" s="36"/>
      <c r="AM72" s="31"/>
    </row>
    <row r="73" spans="2:39" ht="18.75" x14ac:dyDescent="0.25">
      <c r="B73" s="151" t="s">
        <v>21</v>
      </c>
      <c r="C73" s="16" t="s">
        <v>16</v>
      </c>
      <c r="D73" s="153" t="s">
        <v>22</v>
      </c>
      <c r="E73" s="155">
        <f>+AK73+183</f>
        <v>183</v>
      </c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157">
        <f>SUM(F74:AJ74)</f>
        <v>0</v>
      </c>
      <c r="AL73" s="159">
        <f>SUM(F73:AJ73)</f>
        <v>0</v>
      </c>
      <c r="AM73" s="38"/>
    </row>
    <row r="74" spans="2:39" ht="18.75" x14ac:dyDescent="0.25">
      <c r="B74" s="152"/>
      <c r="C74" s="16" t="s">
        <v>23</v>
      </c>
      <c r="D74" s="154"/>
      <c r="E74" s="156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158"/>
      <c r="AL74" s="160"/>
      <c r="AM74" s="31"/>
    </row>
    <row r="75" spans="2:39" ht="18.75" x14ac:dyDescent="0.25">
      <c r="B75" s="15" t="s">
        <v>17</v>
      </c>
      <c r="C75" s="16" t="s">
        <v>24</v>
      </c>
      <c r="D75" s="17" t="s">
        <v>22</v>
      </c>
      <c r="E75" s="59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1"/>
      <c r="AL75" s="40"/>
      <c r="AM75" s="62"/>
    </row>
    <row r="76" spans="2:39" ht="20.25" x14ac:dyDescent="0.25">
      <c r="B76" s="145" t="s">
        <v>51</v>
      </c>
      <c r="C76" s="146"/>
      <c r="D76" s="146"/>
      <c r="E76" s="146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8"/>
    </row>
    <row r="77" spans="2:39" ht="18.75" x14ac:dyDescent="0.25">
      <c r="B77" s="149" t="s">
        <v>20</v>
      </c>
      <c r="C77" s="150"/>
      <c r="D77" s="31"/>
      <c r="E77" s="32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4"/>
      <c r="AJ77" s="34"/>
      <c r="AK77" s="35"/>
      <c r="AL77" s="36"/>
      <c r="AM77" s="31"/>
    </row>
    <row r="78" spans="2:39" ht="18.75" x14ac:dyDescent="0.25">
      <c r="B78" s="151" t="s">
        <v>21</v>
      </c>
      <c r="C78" s="16" t="s">
        <v>16</v>
      </c>
      <c r="D78" s="153" t="s">
        <v>22</v>
      </c>
      <c r="E78" s="155">
        <f>60+AK78</f>
        <v>60</v>
      </c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157">
        <f>SUM(F79:AJ79)</f>
        <v>0</v>
      </c>
      <c r="AL78" s="159">
        <f>SUM(F78:AJ78)</f>
        <v>0</v>
      </c>
      <c r="AM78" s="38"/>
    </row>
    <row r="79" spans="2:39" ht="18.75" x14ac:dyDescent="0.25">
      <c r="B79" s="152"/>
      <c r="C79" s="16" t="s">
        <v>23</v>
      </c>
      <c r="D79" s="154"/>
      <c r="E79" s="156"/>
      <c r="F79" s="39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158"/>
      <c r="AL79" s="160"/>
      <c r="AM79" s="31"/>
    </row>
    <row r="80" spans="2:39" ht="18.75" x14ac:dyDescent="0.25">
      <c r="B80" s="15" t="s">
        <v>17</v>
      </c>
      <c r="C80" s="16" t="s">
        <v>24</v>
      </c>
      <c r="D80" s="17" t="s">
        <v>22</v>
      </c>
      <c r="E80" s="59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1"/>
      <c r="AL80" s="40"/>
      <c r="AM80" s="62"/>
    </row>
    <row r="81" spans="2:39" ht="20.25" x14ac:dyDescent="0.25">
      <c r="B81" s="145" t="s">
        <v>52</v>
      </c>
      <c r="C81" s="146"/>
      <c r="D81" s="146"/>
      <c r="E81" s="146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8"/>
    </row>
    <row r="82" spans="2:39" ht="18.75" x14ac:dyDescent="0.25">
      <c r="B82" s="149" t="s">
        <v>20</v>
      </c>
      <c r="C82" s="150"/>
      <c r="D82" s="31"/>
      <c r="E82" s="32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4"/>
      <c r="AJ82" s="34"/>
      <c r="AK82" s="35"/>
      <c r="AL82" s="36"/>
      <c r="AM82" s="31"/>
    </row>
    <row r="83" spans="2:39" ht="18.75" x14ac:dyDescent="0.25">
      <c r="B83" s="151" t="s">
        <v>21</v>
      </c>
      <c r="C83" s="16" t="s">
        <v>16</v>
      </c>
      <c r="D83" s="153" t="s">
        <v>22</v>
      </c>
      <c r="E83" s="155">
        <f>160+AK83</f>
        <v>160</v>
      </c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157">
        <f>SUM(F84:AJ84)</f>
        <v>0</v>
      </c>
      <c r="AL83" s="159">
        <f>SUM(F83:AJ83)</f>
        <v>0</v>
      </c>
      <c r="AM83" s="38"/>
    </row>
    <row r="84" spans="2:39" ht="18.75" x14ac:dyDescent="0.25">
      <c r="B84" s="152"/>
      <c r="C84" s="16" t="s">
        <v>23</v>
      </c>
      <c r="D84" s="154"/>
      <c r="E84" s="156"/>
      <c r="F84" s="39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158"/>
      <c r="AL84" s="160"/>
      <c r="AM84" s="31"/>
    </row>
    <row r="85" spans="2:39" ht="18.75" x14ac:dyDescent="0.25">
      <c r="B85" s="15" t="s">
        <v>17</v>
      </c>
      <c r="C85" s="16" t="s">
        <v>24</v>
      </c>
      <c r="D85" s="17" t="s">
        <v>22</v>
      </c>
      <c r="E85" s="59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1"/>
      <c r="AL85" s="40"/>
      <c r="AM85" s="62"/>
    </row>
    <row r="86" spans="2:39" ht="20.25" x14ac:dyDescent="0.25">
      <c r="B86" s="145" t="s">
        <v>53</v>
      </c>
      <c r="C86" s="146"/>
      <c r="D86" s="146"/>
      <c r="E86" s="146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8"/>
    </row>
    <row r="87" spans="2:39" ht="18.75" x14ac:dyDescent="0.25">
      <c r="B87" s="149" t="s">
        <v>20</v>
      </c>
      <c r="C87" s="150"/>
      <c r="D87" s="31"/>
      <c r="E87" s="32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4"/>
      <c r="AJ87" s="34"/>
      <c r="AK87" s="35"/>
      <c r="AL87" s="36"/>
      <c r="AM87" s="31"/>
    </row>
    <row r="88" spans="2:39" ht="18.75" x14ac:dyDescent="0.25">
      <c r="B88" s="151" t="s">
        <v>21</v>
      </c>
      <c r="C88" s="16" t="s">
        <v>16</v>
      </c>
      <c r="D88" s="153" t="s">
        <v>22</v>
      </c>
      <c r="E88" s="155">
        <f>129+AK88</f>
        <v>129</v>
      </c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157">
        <f>SUM(F89:AJ89)</f>
        <v>0</v>
      </c>
      <c r="AL88" s="159">
        <f>SUM(F88:AJ88)</f>
        <v>0</v>
      </c>
      <c r="AM88" s="38"/>
    </row>
    <row r="89" spans="2:39" ht="18.75" x14ac:dyDescent="0.25">
      <c r="B89" s="152"/>
      <c r="C89" s="16" t="s">
        <v>23</v>
      </c>
      <c r="D89" s="154"/>
      <c r="E89" s="156"/>
      <c r="F89" s="39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158"/>
      <c r="AL89" s="160"/>
      <c r="AM89" s="31"/>
    </row>
    <row r="90" spans="2:39" ht="18.75" x14ac:dyDescent="0.25">
      <c r="B90" s="15" t="s">
        <v>17</v>
      </c>
      <c r="C90" s="16" t="s">
        <v>24</v>
      </c>
      <c r="D90" s="17" t="s">
        <v>22</v>
      </c>
      <c r="E90" s="59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1"/>
      <c r="AL90" s="40"/>
      <c r="AM90" s="62"/>
    </row>
    <row r="91" spans="2:39" ht="20.25" x14ac:dyDescent="0.25">
      <c r="B91" s="145" t="s">
        <v>54</v>
      </c>
      <c r="C91" s="146"/>
      <c r="D91" s="146"/>
      <c r="E91" s="146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8"/>
    </row>
    <row r="92" spans="2:39" ht="18.75" x14ac:dyDescent="0.25">
      <c r="B92" s="149" t="s">
        <v>20</v>
      </c>
      <c r="C92" s="150"/>
      <c r="D92" s="31"/>
      <c r="E92" s="32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4"/>
      <c r="AJ92" s="34"/>
      <c r="AK92" s="35"/>
      <c r="AL92" s="36"/>
      <c r="AM92" s="31"/>
    </row>
    <row r="93" spans="2:39" ht="18.75" x14ac:dyDescent="0.25">
      <c r="B93" s="151" t="s">
        <v>21</v>
      </c>
      <c r="C93" s="16" t="s">
        <v>16</v>
      </c>
      <c r="D93" s="153" t="s">
        <v>22</v>
      </c>
      <c r="E93" s="155">
        <f>+AK93+9300+1012</f>
        <v>10312</v>
      </c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157">
        <f>SUM(F94:AJ94)</f>
        <v>0</v>
      </c>
      <c r="AL93" s="159">
        <f>SUM(F93:AJ93)</f>
        <v>0</v>
      </c>
      <c r="AM93" s="38"/>
    </row>
    <row r="94" spans="2:39" ht="18.75" x14ac:dyDescent="0.25">
      <c r="B94" s="152"/>
      <c r="C94" s="16" t="s">
        <v>23</v>
      </c>
      <c r="D94" s="154"/>
      <c r="E94" s="156"/>
      <c r="F94" s="39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158"/>
      <c r="AL94" s="160"/>
      <c r="AM94" s="31"/>
    </row>
    <row r="95" spans="2:39" ht="18.75" x14ac:dyDescent="0.25">
      <c r="B95" s="15" t="s">
        <v>17</v>
      </c>
      <c r="C95" s="16" t="s">
        <v>24</v>
      </c>
      <c r="D95" s="17" t="s">
        <v>22</v>
      </c>
      <c r="E95" s="59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1"/>
      <c r="AL95" s="40"/>
      <c r="AM95" s="62"/>
    </row>
  </sheetData>
  <mergeCells count="85">
    <mergeCell ref="B91:AM91"/>
    <mergeCell ref="B92:C92"/>
    <mergeCell ref="B93:B94"/>
    <mergeCell ref="D93:D94"/>
    <mergeCell ref="E93:E94"/>
    <mergeCell ref="AK93:AK94"/>
    <mergeCell ref="AL93:AL94"/>
    <mergeCell ref="B86:AM86"/>
    <mergeCell ref="B87:C87"/>
    <mergeCell ref="B88:B89"/>
    <mergeCell ref="D88:D89"/>
    <mergeCell ref="E88:E89"/>
    <mergeCell ref="AK88:AK89"/>
    <mergeCell ref="AL88:AL89"/>
    <mergeCell ref="B81:AM81"/>
    <mergeCell ref="B82:C82"/>
    <mergeCell ref="B83:B84"/>
    <mergeCell ref="D83:D84"/>
    <mergeCell ref="E83:E84"/>
    <mergeCell ref="AK83:AK84"/>
    <mergeCell ref="AL83:AL84"/>
    <mergeCell ref="B76:AM76"/>
    <mergeCell ref="B77:C77"/>
    <mergeCell ref="B78:B79"/>
    <mergeCell ref="D78:D79"/>
    <mergeCell ref="E78:E79"/>
    <mergeCell ref="AK78:AK79"/>
    <mergeCell ref="AL78:AL79"/>
    <mergeCell ref="B71:AM71"/>
    <mergeCell ref="B72:C72"/>
    <mergeCell ref="B73:B74"/>
    <mergeCell ref="D73:D74"/>
    <mergeCell ref="E73:E74"/>
    <mergeCell ref="AK73:AK74"/>
    <mergeCell ref="AL73:AL74"/>
    <mergeCell ref="B56:AM56"/>
    <mergeCell ref="B57:C57"/>
    <mergeCell ref="B59:B68"/>
    <mergeCell ref="D59:D68"/>
    <mergeCell ref="B70:AM70"/>
    <mergeCell ref="B29:AM29"/>
    <mergeCell ref="B30:C30"/>
    <mergeCell ref="B32:B40"/>
    <mergeCell ref="D32:D40"/>
    <mergeCell ref="B55:AM55"/>
    <mergeCell ref="B42:AM42"/>
    <mergeCell ref="B43:C43"/>
    <mergeCell ref="B45:B53"/>
    <mergeCell ref="D45:D53"/>
    <mergeCell ref="B24:AM24"/>
    <mergeCell ref="B25:C25"/>
    <mergeCell ref="B26:B27"/>
    <mergeCell ref="D26:D27"/>
    <mergeCell ref="E26:E27"/>
    <mergeCell ref="AK26:AK27"/>
    <mergeCell ref="AL26:AL27"/>
    <mergeCell ref="B18:AM18"/>
    <mergeCell ref="B19:C19"/>
    <mergeCell ref="B20:B22"/>
    <mergeCell ref="D20:D22"/>
    <mergeCell ref="AL20:AL22"/>
    <mergeCell ref="B13:AM13"/>
    <mergeCell ref="B14:C14"/>
    <mergeCell ref="B15:B16"/>
    <mergeCell ref="D15:D16"/>
    <mergeCell ref="E15:E16"/>
    <mergeCell ref="AK15:AK16"/>
    <mergeCell ref="AL15:AL16"/>
    <mergeCell ref="B7:AM7"/>
    <mergeCell ref="B8:AM8"/>
    <mergeCell ref="B9:C9"/>
    <mergeCell ref="B10:B11"/>
    <mergeCell ref="D10:D11"/>
    <mergeCell ref="E10:E11"/>
    <mergeCell ref="AK10:AK11"/>
    <mergeCell ref="AL10:AL11"/>
    <mergeCell ref="O2:Z2"/>
    <mergeCell ref="AH2:AM2"/>
    <mergeCell ref="B3:AM3"/>
    <mergeCell ref="B4:D4"/>
    <mergeCell ref="E4:E6"/>
    <mergeCell ref="F4:AM4"/>
    <mergeCell ref="B5:D5"/>
    <mergeCell ref="AK5:AM5"/>
    <mergeCell ref="B6:D6"/>
  </mergeCells>
  <pageMargins left="0.70866099999999987" right="0.70866099999999987" top="0.748031" bottom="0.748031" header="0.31496099999999999" footer="0.31496099999999999"/>
  <pageSetup paperSize="9" scale="2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EDAA-0C65-4792-AA9F-1101B9E2B900}">
  <sheetPr published="0">
    <pageSetUpPr fitToPage="1"/>
  </sheetPr>
  <dimension ref="A2:BR111"/>
  <sheetViews>
    <sheetView tabSelected="1" topLeftCell="B1" zoomScale="55" zoomScaleNormal="55" zoomScaleSheetLayoutView="70" workbookViewId="0">
      <pane ySplit="6" topLeftCell="A7" activePane="bottomLeft" state="frozen"/>
      <selection activeCell="N31" sqref="N31"/>
      <selection pane="bottomLeft" activeCell="W22" sqref="W22"/>
    </sheetView>
  </sheetViews>
  <sheetFormatPr defaultRowHeight="15" customHeight="1" x14ac:dyDescent="0.25"/>
  <cols>
    <col min="1" max="1" width="10.5703125" style="1" hidden="1" customWidth="1"/>
    <col min="2" max="2" width="9.42578125" style="1" customWidth="1"/>
    <col min="3" max="3" width="14.140625" style="1" customWidth="1"/>
    <col min="4" max="4" width="7.140625" style="1" customWidth="1"/>
    <col min="5" max="5" width="10.85546875" style="1" customWidth="1"/>
    <col min="6" max="7" width="10.28515625" style="1" customWidth="1"/>
    <col min="8" max="8" width="12.140625" style="1" customWidth="1"/>
    <col min="9" max="10" width="10.28515625" style="1" customWidth="1"/>
    <col min="11" max="11" width="11.5703125" style="1" customWidth="1"/>
    <col min="12" max="34" width="10.28515625" style="1" customWidth="1"/>
    <col min="35" max="37" width="10.5703125" style="1" customWidth="1"/>
    <col min="38" max="38" width="10.7109375" style="1" customWidth="1"/>
    <col min="39" max="39" width="11.7109375" style="1" customWidth="1"/>
    <col min="40" max="16384" width="9.140625" style="1"/>
  </cols>
  <sheetData>
    <row r="2" spans="1:70" s="2" customFormat="1" ht="30" customHeight="1" x14ac:dyDescent="0.3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4"/>
      <c r="AB2" s="4"/>
      <c r="AC2" s="4"/>
      <c r="AD2" s="4"/>
      <c r="AE2" s="4"/>
      <c r="AF2" s="4"/>
      <c r="AG2" s="4"/>
      <c r="AH2" s="124" t="s">
        <v>138</v>
      </c>
      <c r="AI2" s="124"/>
      <c r="AJ2" s="124"/>
      <c r="AK2" s="124"/>
      <c r="AL2" s="124"/>
      <c r="AM2" s="124"/>
      <c r="AN2" s="5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4"/>
      <c r="BO2" s="4"/>
      <c r="BP2" s="4"/>
      <c r="BQ2" s="4"/>
      <c r="BR2" s="4"/>
    </row>
    <row r="3" spans="1:70" s="2" customFormat="1" ht="50.25" customHeight="1" thickBot="1" x14ac:dyDescent="0.3">
      <c r="A3" s="7"/>
      <c r="B3" s="125" t="s">
        <v>1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8"/>
    </row>
    <row r="4" spans="1:70" s="2" customFormat="1" ht="30" customHeight="1" thickBot="1" x14ac:dyDescent="0.3">
      <c r="A4" s="9"/>
      <c r="B4" s="126" t="s">
        <v>2</v>
      </c>
      <c r="C4" s="127"/>
      <c r="D4" s="128"/>
      <c r="E4" s="129" t="s">
        <v>3</v>
      </c>
      <c r="F4" s="132" t="s">
        <v>137</v>
      </c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3"/>
      <c r="AN4" s="12"/>
    </row>
    <row r="5" spans="1:70" s="13" customFormat="1" ht="15" customHeight="1" x14ac:dyDescent="0.25">
      <c r="A5" s="14"/>
      <c r="B5" s="134" t="s">
        <v>5</v>
      </c>
      <c r="C5" s="135"/>
      <c r="D5" s="136"/>
      <c r="E5" s="130"/>
      <c r="F5" s="102">
        <v>1</v>
      </c>
      <c r="G5" s="19">
        <v>2</v>
      </c>
      <c r="H5" s="19">
        <v>3</v>
      </c>
      <c r="I5" s="19">
        <v>4</v>
      </c>
      <c r="J5" s="19">
        <v>5</v>
      </c>
      <c r="K5" s="19">
        <v>6</v>
      </c>
      <c r="L5" s="19">
        <v>7</v>
      </c>
      <c r="M5" s="19">
        <v>8</v>
      </c>
      <c r="N5" s="19">
        <v>9</v>
      </c>
      <c r="O5" s="19">
        <v>10</v>
      </c>
      <c r="P5" s="19">
        <v>11</v>
      </c>
      <c r="Q5" s="19">
        <v>12</v>
      </c>
      <c r="R5" s="19">
        <v>13</v>
      </c>
      <c r="S5" s="19">
        <v>14</v>
      </c>
      <c r="T5" s="19">
        <v>15</v>
      </c>
      <c r="U5" s="19">
        <v>16</v>
      </c>
      <c r="V5" s="19">
        <v>17</v>
      </c>
      <c r="W5" s="19">
        <v>18</v>
      </c>
      <c r="X5" s="19">
        <v>19</v>
      </c>
      <c r="Y5" s="19">
        <v>20</v>
      </c>
      <c r="Z5" s="19">
        <v>21</v>
      </c>
      <c r="AA5" s="19">
        <v>22</v>
      </c>
      <c r="AB5" s="19">
        <v>23</v>
      </c>
      <c r="AC5" s="19">
        <v>24</v>
      </c>
      <c r="AD5" s="19">
        <v>25</v>
      </c>
      <c r="AE5" s="19">
        <v>26</v>
      </c>
      <c r="AF5" s="19">
        <v>27</v>
      </c>
      <c r="AG5" s="20">
        <v>28</v>
      </c>
      <c r="AH5" s="19">
        <v>29</v>
      </c>
      <c r="AI5" s="20">
        <v>30</v>
      </c>
      <c r="AJ5" s="20">
        <v>31</v>
      </c>
      <c r="AK5" s="137" t="s">
        <v>6</v>
      </c>
      <c r="AL5" s="137"/>
      <c r="AM5" s="138"/>
      <c r="AN5" s="21"/>
    </row>
    <row r="6" spans="1:70" s="13" customFormat="1" ht="19.5" thickBot="1" x14ac:dyDescent="0.3">
      <c r="A6" s="22"/>
      <c r="B6" s="139" t="s">
        <v>7</v>
      </c>
      <c r="C6" s="140"/>
      <c r="D6" s="141"/>
      <c r="E6" s="131"/>
      <c r="F6" s="26" t="s">
        <v>9</v>
      </c>
      <c r="G6" s="26" t="s">
        <v>10</v>
      </c>
      <c r="H6" s="26" t="s">
        <v>11</v>
      </c>
      <c r="I6" s="26" t="s">
        <v>12</v>
      </c>
      <c r="J6" s="26" t="s">
        <v>13</v>
      </c>
      <c r="K6" s="26" t="s">
        <v>14</v>
      </c>
      <c r="L6" s="26" t="s">
        <v>8</v>
      </c>
      <c r="M6" s="26" t="s">
        <v>9</v>
      </c>
      <c r="N6" s="26" t="s">
        <v>10</v>
      </c>
      <c r="O6" s="26" t="s">
        <v>11</v>
      </c>
      <c r="P6" s="26" t="s">
        <v>12</v>
      </c>
      <c r="Q6" s="26" t="s">
        <v>13</v>
      </c>
      <c r="R6" s="26" t="s">
        <v>14</v>
      </c>
      <c r="S6" s="26" t="s">
        <v>8</v>
      </c>
      <c r="T6" s="26" t="s">
        <v>9</v>
      </c>
      <c r="U6" s="26" t="s">
        <v>10</v>
      </c>
      <c r="V6" s="26" t="s">
        <v>11</v>
      </c>
      <c r="W6" s="26" t="s">
        <v>12</v>
      </c>
      <c r="X6" s="26" t="s">
        <v>13</v>
      </c>
      <c r="Y6" s="26" t="s">
        <v>14</v>
      </c>
      <c r="Z6" s="26" t="s">
        <v>8</v>
      </c>
      <c r="AA6" s="26" t="s">
        <v>9</v>
      </c>
      <c r="AB6" s="26" t="s">
        <v>10</v>
      </c>
      <c r="AC6" s="26" t="s">
        <v>11</v>
      </c>
      <c r="AD6" s="26" t="s">
        <v>12</v>
      </c>
      <c r="AE6" s="26" t="s">
        <v>13</v>
      </c>
      <c r="AF6" s="26" t="s">
        <v>14</v>
      </c>
      <c r="AG6" s="26" t="s">
        <v>8</v>
      </c>
      <c r="AH6" s="26" t="s">
        <v>9</v>
      </c>
      <c r="AI6" s="26" t="s">
        <v>10</v>
      </c>
      <c r="AJ6" s="26" t="s">
        <v>11</v>
      </c>
      <c r="AK6" s="27" t="s">
        <v>15</v>
      </c>
      <c r="AL6" s="28" t="s">
        <v>16</v>
      </c>
      <c r="AM6" s="95" t="s">
        <v>17</v>
      </c>
      <c r="AN6" s="21"/>
    </row>
    <row r="7" spans="1:70" s="13" customFormat="1" ht="21" thickBot="1" x14ac:dyDescent="0.3">
      <c r="A7" s="30"/>
      <c r="B7" s="142" t="s">
        <v>18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8"/>
      <c r="AN7" s="21"/>
    </row>
    <row r="8" spans="1:70" ht="21" hidden="1" thickBot="1" x14ac:dyDescent="0.3">
      <c r="B8" s="145" t="s">
        <v>47</v>
      </c>
      <c r="C8" s="146"/>
      <c r="D8" s="146"/>
      <c r="E8" s="146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8"/>
    </row>
    <row r="9" spans="1:70" ht="19.5" hidden="1" thickBot="1" x14ac:dyDescent="0.3">
      <c r="B9" s="149" t="s">
        <v>20</v>
      </c>
      <c r="C9" s="150"/>
      <c r="D9" s="98"/>
      <c r="E9" s="32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4"/>
      <c r="AK9" s="35"/>
      <c r="AL9" s="36"/>
      <c r="AM9" s="98"/>
    </row>
    <row r="10" spans="1:70" ht="19.5" hidden="1" thickBot="1" x14ac:dyDescent="0.3">
      <c r="B10" s="151" t="s">
        <v>21</v>
      </c>
      <c r="C10" s="100" t="s">
        <v>16</v>
      </c>
      <c r="D10" s="153" t="s">
        <v>22</v>
      </c>
      <c r="E10" s="155">
        <f>1750+AK10</f>
        <v>1750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157">
        <f>SUM(F11:AJ11)</f>
        <v>0</v>
      </c>
      <c r="AL10" s="159">
        <f>SUM(F10:AJ10)</f>
        <v>0</v>
      </c>
      <c r="AM10" s="96"/>
    </row>
    <row r="11" spans="1:70" ht="19.5" hidden="1" thickBot="1" x14ac:dyDescent="0.3">
      <c r="B11" s="152"/>
      <c r="C11" s="100" t="s">
        <v>23</v>
      </c>
      <c r="D11" s="154"/>
      <c r="E11" s="156"/>
      <c r="F11" s="39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100"/>
      <c r="AI11" s="100"/>
      <c r="AJ11" s="100"/>
      <c r="AK11" s="158"/>
      <c r="AL11" s="160"/>
      <c r="AM11" s="98"/>
    </row>
    <row r="12" spans="1:70" ht="19.5" hidden="1" thickBot="1" x14ac:dyDescent="0.3">
      <c r="B12" s="41" t="s">
        <v>17</v>
      </c>
      <c r="C12" s="42" t="s">
        <v>24</v>
      </c>
      <c r="D12" s="95" t="s">
        <v>22</v>
      </c>
      <c r="E12" s="43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5"/>
      <c r="AL12" s="46"/>
      <c r="AM12" s="96"/>
    </row>
    <row r="13" spans="1:70" ht="21" thickBot="1" x14ac:dyDescent="0.3">
      <c r="B13" s="145" t="s">
        <v>19</v>
      </c>
      <c r="C13" s="146"/>
      <c r="D13" s="146"/>
      <c r="E13" s="146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8"/>
    </row>
    <row r="14" spans="1:70" ht="18.75" x14ac:dyDescent="0.25">
      <c r="B14" s="149" t="s">
        <v>20</v>
      </c>
      <c r="C14" s="150"/>
      <c r="D14" s="98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4"/>
      <c r="AK14" s="35"/>
      <c r="AL14" s="36"/>
      <c r="AM14" s="98"/>
    </row>
    <row r="15" spans="1:70" ht="18.75" x14ac:dyDescent="0.25">
      <c r="B15" s="151" t="s">
        <v>21</v>
      </c>
      <c r="C15" s="100" t="s">
        <v>16</v>
      </c>
      <c r="D15" s="153" t="s">
        <v>22</v>
      </c>
      <c r="E15" s="155">
        <f>21134+AK15+180</f>
        <v>22494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157">
        <f>SUM(F16:AJ16)</f>
        <v>1180</v>
      </c>
      <c r="AL15" s="159">
        <f>SUM(F15:AJ15)</f>
        <v>0</v>
      </c>
      <c r="AM15" s="96"/>
    </row>
    <row r="16" spans="1:70" ht="18.75" x14ac:dyDescent="0.25">
      <c r="B16" s="152"/>
      <c r="C16" s="100" t="s">
        <v>23</v>
      </c>
      <c r="D16" s="154"/>
      <c r="E16" s="156"/>
      <c r="F16" s="39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>
        <v>300</v>
      </c>
      <c r="Y16" s="40">
        <f>150+140</f>
        <v>290</v>
      </c>
      <c r="Z16" s="40">
        <f>160+110</f>
        <v>270</v>
      </c>
      <c r="AA16" s="40">
        <f>170+150</f>
        <v>320</v>
      </c>
      <c r="AB16" s="40"/>
      <c r="AC16" s="40"/>
      <c r="AD16" s="40"/>
      <c r="AE16" s="40"/>
      <c r="AF16" s="40"/>
      <c r="AG16" s="40"/>
      <c r="AH16" s="40"/>
      <c r="AI16" s="40"/>
      <c r="AJ16" s="40"/>
      <c r="AK16" s="158"/>
      <c r="AL16" s="160"/>
      <c r="AM16" s="98"/>
    </row>
    <row r="17" spans="2:39" ht="19.5" thickBot="1" x14ac:dyDescent="0.3">
      <c r="B17" s="41" t="s">
        <v>17</v>
      </c>
      <c r="C17" s="42" t="s">
        <v>24</v>
      </c>
      <c r="D17" s="95" t="s">
        <v>22</v>
      </c>
      <c r="E17" s="43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5"/>
      <c r="AL17" s="46"/>
      <c r="AM17" s="96"/>
    </row>
    <row r="18" spans="2:39" ht="21" thickBot="1" x14ac:dyDescent="0.3">
      <c r="B18" s="145" t="s">
        <v>129</v>
      </c>
      <c r="C18" s="146"/>
      <c r="D18" s="146"/>
      <c r="E18" s="146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8"/>
    </row>
    <row r="19" spans="2:39" ht="18.75" x14ac:dyDescent="0.25">
      <c r="B19" s="149" t="s">
        <v>20</v>
      </c>
      <c r="C19" s="150"/>
      <c r="D19" s="98"/>
      <c r="E19" s="32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4"/>
      <c r="AJ19" s="34"/>
      <c r="AK19" s="35"/>
      <c r="AL19" s="36"/>
      <c r="AM19" s="98"/>
    </row>
    <row r="20" spans="2:39" ht="18.75" x14ac:dyDescent="0.25">
      <c r="B20" s="151" t="s">
        <v>21</v>
      </c>
      <c r="C20" s="100" t="s">
        <v>16</v>
      </c>
      <c r="D20" s="153" t="s">
        <v>22</v>
      </c>
      <c r="E20" s="93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94">
        <f>SUM(F20:AJ20)</f>
        <v>0</v>
      </c>
      <c r="AL20" s="159">
        <f>SUM(F20:AJ20)</f>
        <v>0</v>
      </c>
      <c r="AM20" s="96"/>
    </row>
    <row r="21" spans="2:39" ht="18.75" x14ac:dyDescent="0.25">
      <c r="B21" s="169"/>
      <c r="C21" s="100" t="s">
        <v>127</v>
      </c>
      <c r="D21" s="170"/>
      <c r="E21" s="120">
        <f>500+AK21+3390</f>
        <v>3890</v>
      </c>
      <c r="F21" s="39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94">
        <f t="shared" ref="AK21:AK22" si="0">SUM(F21:AJ21)</f>
        <v>0</v>
      </c>
      <c r="AL21" s="171"/>
      <c r="AM21" s="98"/>
    </row>
    <row r="22" spans="2:39" ht="18.75" x14ac:dyDescent="0.25">
      <c r="B22" s="152"/>
      <c r="C22" s="100" t="s">
        <v>128</v>
      </c>
      <c r="D22" s="154"/>
      <c r="E22" s="120">
        <f>500+AK22+490</f>
        <v>990</v>
      </c>
      <c r="F22" s="39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94">
        <f t="shared" si="0"/>
        <v>0</v>
      </c>
      <c r="AL22" s="160"/>
      <c r="AM22" s="98"/>
    </row>
    <row r="23" spans="2:39" ht="19.5" thickBot="1" x14ac:dyDescent="0.3">
      <c r="B23" s="41" t="s">
        <v>17</v>
      </c>
      <c r="C23" s="42" t="s">
        <v>24</v>
      </c>
      <c r="D23" s="95" t="s">
        <v>22</v>
      </c>
      <c r="E23" s="43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5"/>
      <c r="AL23" s="46"/>
      <c r="AM23" s="96"/>
    </row>
    <row r="24" spans="2:39" ht="21" hidden="1" thickBot="1" x14ac:dyDescent="0.3">
      <c r="B24" s="145" t="s">
        <v>26</v>
      </c>
      <c r="C24" s="146"/>
      <c r="D24" s="146"/>
      <c r="E24" s="146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8"/>
    </row>
    <row r="25" spans="2:39" ht="19.5" hidden="1" thickBot="1" x14ac:dyDescent="0.3">
      <c r="B25" s="149" t="s">
        <v>20</v>
      </c>
      <c r="C25" s="150"/>
      <c r="D25" s="98"/>
      <c r="E25" s="32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4"/>
      <c r="AJ25" s="34"/>
      <c r="AK25" s="35"/>
      <c r="AL25" s="36"/>
      <c r="AM25" s="98"/>
    </row>
    <row r="26" spans="2:39" ht="19.5" hidden="1" thickBot="1" x14ac:dyDescent="0.3">
      <c r="B26" s="151" t="s">
        <v>21</v>
      </c>
      <c r="C26" s="100" t="s">
        <v>16</v>
      </c>
      <c r="D26" s="153" t="s">
        <v>22</v>
      </c>
      <c r="E26" s="155">
        <f>AK26</f>
        <v>0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157">
        <f>SUM(F27:AJ27)</f>
        <v>0</v>
      </c>
      <c r="AL26" s="159">
        <f>SUM(F26:AJ26)</f>
        <v>0</v>
      </c>
      <c r="AM26" s="96"/>
    </row>
    <row r="27" spans="2:39" ht="19.5" hidden="1" thickBot="1" x14ac:dyDescent="0.3">
      <c r="B27" s="152"/>
      <c r="C27" s="100" t="s">
        <v>23</v>
      </c>
      <c r="D27" s="154"/>
      <c r="E27" s="156"/>
      <c r="F27" s="39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158"/>
      <c r="AL27" s="160"/>
      <c r="AM27" s="98"/>
    </row>
    <row r="28" spans="2:39" ht="19.5" hidden="1" thickBot="1" x14ac:dyDescent="0.3">
      <c r="B28" s="41" t="s">
        <v>17</v>
      </c>
      <c r="C28" s="42" t="s">
        <v>24</v>
      </c>
      <c r="D28" s="95" t="s">
        <v>22</v>
      </c>
      <c r="E28" s="43"/>
      <c r="F28" s="34">
        <f t="shared" ref="F28:AI28" si="1">SUM(F25:F27)</f>
        <v>0</v>
      </c>
      <c r="G28" s="34">
        <f t="shared" si="1"/>
        <v>0</v>
      </c>
      <c r="H28" s="34">
        <f t="shared" si="1"/>
        <v>0</v>
      </c>
      <c r="I28" s="34">
        <f t="shared" si="1"/>
        <v>0</v>
      </c>
      <c r="J28" s="34">
        <f t="shared" si="1"/>
        <v>0</v>
      </c>
      <c r="K28" s="34">
        <f t="shared" si="1"/>
        <v>0</v>
      </c>
      <c r="L28" s="34">
        <f t="shared" si="1"/>
        <v>0</v>
      </c>
      <c r="M28" s="47">
        <f t="shared" si="1"/>
        <v>0</v>
      </c>
      <c r="N28" s="34">
        <f t="shared" si="1"/>
        <v>0</v>
      </c>
      <c r="O28" s="34">
        <f t="shared" si="1"/>
        <v>0</v>
      </c>
      <c r="P28" s="34">
        <f t="shared" si="1"/>
        <v>0</v>
      </c>
      <c r="Q28" s="34">
        <f t="shared" si="1"/>
        <v>0</v>
      </c>
      <c r="R28" s="34">
        <f t="shared" si="1"/>
        <v>0</v>
      </c>
      <c r="S28" s="34">
        <f t="shared" si="1"/>
        <v>0</v>
      </c>
      <c r="T28" s="34">
        <f t="shared" si="1"/>
        <v>0</v>
      </c>
      <c r="U28" s="34">
        <f t="shared" si="1"/>
        <v>0</v>
      </c>
      <c r="V28" s="34">
        <f t="shared" si="1"/>
        <v>0</v>
      </c>
      <c r="W28" s="34">
        <f t="shared" si="1"/>
        <v>0</v>
      </c>
      <c r="X28" s="34">
        <f t="shared" si="1"/>
        <v>0</v>
      </c>
      <c r="Y28" s="34">
        <f t="shared" si="1"/>
        <v>0</v>
      </c>
      <c r="Z28" s="34">
        <f t="shared" si="1"/>
        <v>0</v>
      </c>
      <c r="AA28" s="34">
        <f t="shared" si="1"/>
        <v>0</v>
      </c>
      <c r="AB28" s="34">
        <f t="shared" si="1"/>
        <v>0</v>
      </c>
      <c r="AC28" s="34">
        <f t="shared" si="1"/>
        <v>0</v>
      </c>
      <c r="AD28" s="34">
        <f t="shared" si="1"/>
        <v>0</v>
      </c>
      <c r="AE28" s="34">
        <f t="shared" si="1"/>
        <v>0</v>
      </c>
      <c r="AF28" s="34">
        <f t="shared" si="1"/>
        <v>0</v>
      </c>
      <c r="AG28" s="34">
        <f t="shared" si="1"/>
        <v>0</v>
      </c>
      <c r="AH28" s="34">
        <f t="shared" si="1"/>
        <v>0</v>
      </c>
      <c r="AI28" s="34">
        <f t="shared" si="1"/>
        <v>0</v>
      </c>
      <c r="AJ28" s="34">
        <f>SUM(AJ25:AJ27)</f>
        <v>0</v>
      </c>
      <c r="AK28" s="45"/>
      <c r="AL28" s="46"/>
      <c r="AM28" s="96"/>
    </row>
    <row r="29" spans="2:39" ht="21" thickBot="1" x14ac:dyDescent="0.3">
      <c r="B29" s="145" t="s">
        <v>123</v>
      </c>
      <c r="C29" s="146"/>
      <c r="D29" s="146"/>
      <c r="E29" s="146" t="s">
        <v>28</v>
      </c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8"/>
    </row>
    <row r="30" spans="2:39" ht="18.75" x14ac:dyDescent="0.25">
      <c r="B30" s="149" t="s">
        <v>20</v>
      </c>
      <c r="C30" s="150"/>
      <c r="D30" s="98"/>
      <c r="E30" s="43"/>
      <c r="F30" s="33"/>
      <c r="G30" s="33"/>
      <c r="H30" s="48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4"/>
      <c r="AJ30" s="34"/>
      <c r="AK30" s="35"/>
      <c r="AL30" s="36"/>
      <c r="AM30" s="98"/>
    </row>
    <row r="31" spans="2:39" ht="18.75" x14ac:dyDescent="0.25">
      <c r="B31" s="30"/>
      <c r="C31" s="100" t="s">
        <v>16</v>
      </c>
      <c r="D31" s="97" t="s">
        <v>22</v>
      </c>
      <c r="E31" s="43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35"/>
      <c r="AL31" s="51">
        <f>SUM(F31:AJ31)</f>
        <v>0</v>
      </c>
      <c r="AM31" s="98"/>
    </row>
    <row r="32" spans="2:39" ht="18.75" x14ac:dyDescent="0.25">
      <c r="B32" s="161" t="s">
        <v>21</v>
      </c>
      <c r="C32" s="52" t="s">
        <v>29</v>
      </c>
      <c r="D32" s="164" t="s">
        <v>22</v>
      </c>
      <c r="E32" s="53">
        <f>819+AK32+1335+1010</f>
        <v>3509</v>
      </c>
      <c r="F32" s="33"/>
      <c r="G32" s="33"/>
      <c r="H32" s="33"/>
      <c r="I32" s="33"/>
      <c r="J32" s="33"/>
      <c r="K32" s="33"/>
      <c r="L32" s="33"/>
      <c r="M32" s="33"/>
      <c r="N32" s="33"/>
      <c r="O32" s="33">
        <v>30</v>
      </c>
      <c r="P32" s="33">
        <v>50</v>
      </c>
      <c r="Q32" s="33">
        <v>65</v>
      </c>
      <c r="R32" s="85">
        <v>30</v>
      </c>
      <c r="S32" s="85">
        <v>45</v>
      </c>
      <c r="T32" s="85">
        <v>40</v>
      </c>
      <c r="U32" s="85">
        <v>45</v>
      </c>
      <c r="V32" s="86">
        <v>40</v>
      </c>
      <c r="W32" s="86"/>
      <c r="X32" s="85"/>
      <c r="Y32" s="55"/>
      <c r="Z32" s="33"/>
      <c r="AA32" s="33"/>
      <c r="AB32" s="33"/>
      <c r="AC32" s="33"/>
      <c r="AD32" s="33"/>
      <c r="AE32" s="33"/>
      <c r="AF32" s="33"/>
      <c r="AG32" s="33"/>
      <c r="AH32" s="33"/>
      <c r="AI32" s="34"/>
      <c r="AJ32" s="34"/>
      <c r="AK32" s="54">
        <f t="shared" ref="AK32:AK41" si="2">SUM(F32:AJ32)</f>
        <v>345</v>
      </c>
      <c r="AL32" s="36"/>
      <c r="AM32" s="98"/>
    </row>
    <row r="33" spans="2:39" ht="18.75" x14ac:dyDescent="0.25">
      <c r="B33" s="162"/>
      <c r="C33" s="52" t="s">
        <v>30</v>
      </c>
      <c r="D33" s="165"/>
      <c r="E33" s="53">
        <f>565+AK33+950+630</f>
        <v>2385</v>
      </c>
      <c r="F33" s="33"/>
      <c r="G33" s="33"/>
      <c r="H33" s="33"/>
      <c r="I33" s="33"/>
      <c r="J33" s="33"/>
      <c r="K33" s="33"/>
      <c r="L33" s="33"/>
      <c r="M33" s="33"/>
      <c r="N33" s="33"/>
      <c r="O33" s="33">
        <v>25</v>
      </c>
      <c r="P33" s="33">
        <v>30</v>
      </c>
      <c r="Q33" s="33">
        <v>40</v>
      </c>
      <c r="R33" s="85">
        <v>25</v>
      </c>
      <c r="S33" s="85">
        <v>25</v>
      </c>
      <c r="T33" s="85">
        <v>35</v>
      </c>
      <c r="U33" s="85">
        <v>30</v>
      </c>
      <c r="V33" s="86">
        <v>30</v>
      </c>
      <c r="W33" s="86"/>
      <c r="X33" s="85"/>
      <c r="Y33" s="55"/>
      <c r="Z33" s="33"/>
      <c r="AA33" s="33"/>
      <c r="AB33" s="33"/>
      <c r="AC33" s="33"/>
      <c r="AD33" s="33"/>
      <c r="AE33" s="33"/>
      <c r="AF33" s="33"/>
      <c r="AG33" s="33"/>
      <c r="AH33" s="33"/>
      <c r="AI33" s="34"/>
      <c r="AJ33" s="34"/>
      <c r="AK33" s="54">
        <f t="shared" si="2"/>
        <v>240</v>
      </c>
      <c r="AL33" s="36"/>
      <c r="AM33" s="98"/>
    </row>
    <row r="34" spans="2:39" ht="18.75" x14ac:dyDescent="0.25">
      <c r="B34" s="162"/>
      <c r="C34" s="52" t="s">
        <v>31</v>
      </c>
      <c r="D34" s="165"/>
      <c r="E34" s="53">
        <f>565+AK34+890+630</f>
        <v>2330</v>
      </c>
      <c r="F34" s="33"/>
      <c r="G34" s="33"/>
      <c r="H34" s="33"/>
      <c r="I34" s="33"/>
      <c r="J34" s="33"/>
      <c r="K34" s="33"/>
      <c r="L34" s="33"/>
      <c r="M34" s="33"/>
      <c r="N34" s="33"/>
      <c r="O34" s="33">
        <v>25</v>
      </c>
      <c r="P34" s="33">
        <v>30</v>
      </c>
      <c r="Q34" s="33">
        <v>40</v>
      </c>
      <c r="R34" s="85">
        <v>25</v>
      </c>
      <c r="S34" s="85">
        <v>25</v>
      </c>
      <c r="T34" s="85">
        <v>35</v>
      </c>
      <c r="U34" s="85">
        <v>35</v>
      </c>
      <c r="V34" s="86">
        <v>30</v>
      </c>
      <c r="W34" s="86"/>
      <c r="X34" s="85"/>
      <c r="Y34" s="55"/>
      <c r="Z34" s="33"/>
      <c r="AA34" s="33"/>
      <c r="AB34" s="33"/>
      <c r="AC34" s="33"/>
      <c r="AD34" s="33"/>
      <c r="AE34" s="33"/>
      <c r="AF34" s="33"/>
      <c r="AG34" s="33"/>
      <c r="AH34" s="33"/>
      <c r="AI34" s="34"/>
      <c r="AJ34" s="34"/>
      <c r="AK34" s="54">
        <f t="shared" si="2"/>
        <v>245</v>
      </c>
      <c r="AL34" s="36"/>
      <c r="AM34" s="98"/>
    </row>
    <row r="35" spans="2:39" ht="18.75" x14ac:dyDescent="0.25">
      <c r="B35" s="162"/>
      <c r="C35" s="52" t="s">
        <v>32</v>
      </c>
      <c r="D35" s="165"/>
      <c r="E35" s="53">
        <f>975+AK35+1445+1295</f>
        <v>4190</v>
      </c>
      <c r="F35" s="33"/>
      <c r="G35" s="33"/>
      <c r="H35" s="33"/>
      <c r="I35" s="33"/>
      <c r="J35" s="33"/>
      <c r="K35" s="33"/>
      <c r="L35" s="33"/>
      <c r="M35" s="33"/>
      <c r="N35" s="33"/>
      <c r="O35" s="33">
        <v>40</v>
      </c>
      <c r="P35" s="33">
        <v>70</v>
      </c>
      <c r="Q35" s="33">
        <v>95</v>
      </c>
      <c r="R35" s="85">
        <v>40</v>
      </c>
      <c r="S35" s="85">
        <v>60</v>
      </c>
      <c r="T35" s="85">
        <v>60</v>
      </c>
      <c r="U35" s="85">
        <v>60</v>
      </c>
      <c r="V35" s="86">
        <v>50</v>
      </c>
      <c r="W35" s="86"/>
      <c r="X35" s="85"/>
      <c r="Y35" s="55"/>
      <c r="Z35" s="33"/>
      <c r="AA35" s="33"/>
      <c r="AB35" s="33"/>
      <c r="AC35" s="33"/>
      <c r="AD35" s="33"/>
      <c r="AE35" s="33"/>
      <c r="AF35" s="33"/>
      <c r="AG35" s="33"/>
      <c r="AH35" s="33"/>
      <c r="AI35" s="34"/>
      <c r="AJ35" s="34"/>
      <c r="AK35" s="54">
        <f t="shared" si="2"/>
        <v>475</v>
      </c>
      <c r="AL35" s="36"/>
      <c r="AM35" s="98"/>
    </row>
    <row r="36" spans="2:39" ht="18.75" hidden="1" x14ac:dyDescent="0.25">
      <c r="B36" s="162"/>
      <c r="C36" s="52" t="s">
        <v>33</v>
      </c>
      <c r="D36" s="165"/>
      <c r="E36" s="53">
        <f t="shared" ref="E36:E39" si="3">AK36</f>
        <v>0</v>
      </c>
      <c r="F36" s="55"/>
      <c r="G36" s="55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100"/>
      <c r="W36" s="100"/>
      <c r="X36" s="55"/>
      <c r="Y36" s="55"/>
      <c r="Z36" s="55"/>
      <c r="AA36" s="55"/>
      <c r="AB36" s="55"/>
      <c r="AC36" s="55"/>
      <c r="AD36" s="55"/>
      <c r="AE36" s="55"/>
      <c r="AF36" s="33"/>
      <c r="AG36" s="33"/>
      <c r="AH36" s="33"/>
      <c r="AI36" s="34"/>
      <c r="AJ36" s="34"/>
      <c r="AK36" s="54">
        <f t="shared" si="2"/>
        <v>0</v>
      </c>
      <c r="AL36" s="36"/>
      <c r="AM36" s="98"/>
    </row>
    <row r="37" spans="2:39" ht="18.75" hidden="1" x14ac:dyDescent="0.25">
      <c r="B37" s="162"/>
      <c r="C37" s="52" t="s">
        <v>34</v>
      </c>
      <c r="D37" s="165"/>
      <c r="E37" s="53">
        <f t="shared" si="3"/>
        <v>0</v>
      </c>
      <c r="F37" s="33"/>
      <c r="G37" s="55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40"/>
      <c r="W37" s="40"/>
      <c r="X37" s="33"/>
      <c r="Y37" s="33"/>
      <c r="Z37" s="33"/>
      <c r="AA37" s="33"/>
      <c r="AB37" s="33"/>
      <c r="AC37" s="55"/>
      <c r="AD37" s="33"/>
      <c r="AE37" s="33"/>
      <c r="AF37" s="33"/>
      <c r="AG37" s="33"/>
      <c r="AH37" s="33"/>
      <c r="AI37" s="34"/>
      <c r="AJ37" s="34"/>
      <c r="AK37" s="54">
        <f t="shared" si="2"/>
        <v>0</v>
      </c>
      <c r="AL37" s="36"/>
      <c r="AM37" s="98"/>
    </row>
    <row r="38" spans="2:39" ht="18.75" hidden="1" x14ac:dyDescent="0.25">
      <c r="B38" s="162"/>
      <c r="C38" s="52" t="s">
        <v>35</v>
      </c>
      <c r="D38" s="165"/>
      <c r="E38" s="53">
        <f t="shared" si="3"/>
        <v>0</v>
      </c>
      <c r="F38" s="33"/>
      <c r="G38" s="55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40"/>
      <c r="W38" s="40"/>
      <c r="X38" s="33"/>
      <c r="Y38" s="33"/>
      <c r="Z38" s="33"/>
      <c r="AA38" s="33"/>
      <c r="AB38" s="33"/>
      <c r="AC38" s="55"/>
      <c r="AD38" s="33"/>
      <c r="AE38" s="33"/>
      <c r="AF38" s="33"/>
      <c r="AG38" s="33"/>
      <c r="AH38" s="33"/>
      <c r="AI38" s="34"/>
      <c r="AJ38" s="34"/>
      <c r="AK38" s="54">
        <f t="shared" si="2"/>
        <v>0</v>
      </c>
      <c r="AL38" s="36"/>
      <c r="AM38" s="98"/>
    </row>
    <row r="39" spans="2:39" ht="18.75" hidden="1" x14ac:dyDescent="0.25">
      <c r="B39" s="162"/>
      <c r="C39" s="52" t="s">
        <v>36</v>
      </c>
      <c r="D39" s="165"/>
      <c r="E39" s="53">
        <f t="shared" si="3"/>
        <v>0</v>
      </c>
      <c r="F39" s="33"/>
      <c r="G39" s="55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40"/>
      <c r="W39" s="40"/>
      <c r="X39" s="33"/>
      <c r="Y39" s="33"/>
      <c r="Z39" s="33"/>
      <c r="AA39" s="33"/>
      <c r="AB39" s="33"/>
      <c r="AC39" s="55"/>
      <c r="AD39" s="33"/>
      <c r="AE39" s="33"/>
      <c r="AF39" s="33"/>
      <c r="AG39" s="33"/>
      <c r="AH39" s="33"/>
      <c r="AI39" s="34"/>
      <c r="AJ39" s="34"/>
      <c r="AK39" s="54">
        <f t="shared" si="2"/>
        <v>0</v>
      </c>
      <c r="AL39" s="36"/>
      <c r="AM39" s="98"/>
    </row>
    <row r="40" spans="2:39" ht="18.75" x14ac:dyDescent="0.25">
      <c r="B40" s="162"/>
      <c r="C40" s="52" t="s">
        <v>40</v>
      </c>
      <c r="D40" s="165"/>
      <c r="E40" s="53">
        <f>AK40+199+50+30</f>
        <v>869</v>
      </c>
      <c r="F40" s="33">
        <v>45</v>
      </c>
      <c r="G40" s="55">
        <v>80</v>
      </c>
      <c r="H40" s="33">
        <v>40</v>
      </c>
      <c r="I40" s="33">
        <v>75</v>
      </c>
      <c r="J40" s="33">
        <v>65</v>
      </c>
      <c r="K40" s="33">
        <v>75</v>
      </c>
      <c r="L40" s="33">
        <v>80</v>
      </c>
      <c r="M40" s="33">
        <v>55</v>
      </c>
      <c r="N40" s="33">
        <v>75</v>
      </c>
      <c r="O40" s="33"/>
      <c r="P40" s="33"/>
      <c r="Q40" s="33"/>
      <c r="R40" s="33"/>
      <c r="S40" s="33"/>
      <c r="T40" s="33"/>
      <c r="U40" s="33"/>
      <c r="V40" s="40"/>
      <c r="W40" s="40"/>
      <c r="X40" s="33"/>
      <c r="Y40" s="33"/>
      <c r="Z40" s="33"/>
      <c r="AA40" s="33"/>
      <c r="AB40" s="33"/>
      <c r="AC40" s="55"/>
      <c r="AD40" s="33"/>
      <c r="AE40" s="33"/>
      <c r="AF40" s="33"/>
      <c r="AG40" s="55"/>
      <c r="AH40" s="55"/>
      <c r="AI40" s="56"/>
      <c r="AJ40" s="34"/>
      <c r="AK40" s="54">
        <f t="shared" si="2"/>
        <v>590</v>
      </c>
      <c r="AL40" s="36"/>
      <c r="AM40" s="118"/>
    </row>
    <row r="41" spans="2:39" ht="18.75" x14ac:dyDescent="0.25">
      <c r="B41" s="163"/>
      <c r="C41" s="52" t="s">
        <v>37</v>
      </c>
      <c r="D41" s="166"/>
      <c r="E41" s="53">
        <f>AK41+305+60+40</f>
        <v>1102</v>
      </c>
      <c r="F41" s="33">
        <v>55</v>
      </c>
      <c r="G41" s="55">
        <v>95</v>
      </c>
      <c r="H41" s="55">
        <v>45</v>
      </c>
      <c r="I41" s="55">
        <v>90</v>
      </c>
      <c r="J41" s="55">
        <v>80</v>
      </c>
      <c r="K41" s="55">
        <v>95</v>
      </c>
      <c r="L41" s="55">
        <v>87</v>
      </c>
      <c r="M41" s="33">
        <v>70</v>
      </c>
      <c r="N41" s="33">
        <v>80</v>
      </c>
      <c r="O41" s="33"/>
      <c r="P41" s="55"/>
      <c r="Q41" s="55"/>
      <c r="R41" s="55"/>
      <c r="S41" s="55"/>
      <c r="T41" s="33"/>
      <c r="U41" s="55"/>
      <c r="V41" s="40"/>
      <c r="W41" s="40"/>
      <c r="X41" s="33"/>
      <c r="Y41" s="33"/>
      <c r="Z41" s="33"/>
      <c r="AA41" s="33"/>
      <c r="AB41" s="33"/>
      <c r="AC41" s="55"/>
      <c r="AD41" s="33"/>
      <c r="AE41" s="33"/>
      <c r="AF41" s="33"/>
      <c r="AG41" s="55"/>
      <c r="AH41" s="55"/>
      <c r="AI41" s="56"/>
      <c r="AJ41" s="56"/>
      <c r="AK41" s="54">
        <f t="shared" si="2"/>
        <v>697</v>
      </c>
      <c r="AL41" s="36"/>
      <c r="AM41" s="98"/>
    </row>
    <row r="42" spans="2:39" ht="19.5" thickBot="1" x14ac:dyDescent="0.3">
      <c r="B42" s="100" t="s">
        <v>17</v>
      </c>
      <c r="C42" s="52" t="s">
        <v>38</v>
      </c>
      <c r="D42" s="98" t="s">
        <v>22</v>
      </c>
      <c r="E42" s="53">
        <f>SUM(E32:E41)</f>
        <v>14385</v>
      </c>
      <c r="F42" s="55">
        <f t="shared" ref="F42:AI42" si="4">SUM(F32:F41)</f>
        <v>100</v>
      </c>
      <c r="G42" s="55">
        <f t="shared" si="4"/>
        <v>175</v>
      </c>
      <c r="H42" s="55">
        <f t="shared" si="4"/>
        <v>85</v>
      </c>
      <c r="I42" s="55">
        <f t="shared" si="4"/>
        <v>165</v>
      </c>
      <c r="J42" s="55">
        <f t="shared" si="4"/>
        <v>145</v>
      </c>
      <c r="K42" s="55">
        <f t="shared" si="4"/>
        <v>170</v>
      </c>
      <c r="L42" s="55">
        <f t="shared" si="4"/>
        <v>167</v>
      </c>
      <c r="M42" s="55">
        <f t="shared" si="4"/>
        <v>125</v>
      </c>
      <c r="N42" s="55">
        <f t="shared" si="4"/>
        <v>155</v>
      </c>
      <c r="O42" s="55">
        <f t="shared" si="4"/>
        <v>120</v>
      </c>
      <c r="P42" s="55">
        <f t="shared" si="4"/>
        <v>180</v>
      </c>
      <c r="Q42" s="55">
        <f t="shared" si="4"/>
        <v>240</v>
      </c>
      <c r="R42" s="55">
        <f t="shared" si="4"/>
        <v>120</v>
      </c>
      <c r="S42" s="55">
        <f t="shared" si="4"/>
        <v>155</v>
      </c>
      <c r="T42" s="55">
        <f t="shared" si="4"/>
        <v>170</v>
      </c>
      <c r="U42" s="55">
        <f t="shared" si="4"/>
        <v>170</v>
      </c>
      <c r="V42" s="40">
        <f>SUM(V32:V41)</f>
        <v>150</v>
      </c>
      <c r="W42" s="40">
        <f t="shared" si="4"/>
        <v>0</v>
      </c>
      <c r="X42" s="55">
        <f t="shared" si="4"/>
        <v>0</v>
      </c>
      <c r="Y42" s="55">
        <f t="shared" si="4"/>
        <v>0</v>
      </c>
      <c r="Z42" s="55">
        <f t="shared" si="4"/>
        <v>0</v>
      </c>
      <c r="AA42" s="55">
        <f t="shared" si="4"/>
        <v>0</v>
      </c>
      <c r="AB42" s="55">
        <f t="shared" si="4"/>
        <v>0</v>
      </c>
      <c r="AC42" s="55">
        <f t="shared" si="4"/>
        <v>0</v>
      </c>
      <c r="AD42" s="55">
        <f t="shared" si="4"/>
        <v>0</v>
      </c>
      <c r="AE42" s="55">
        <f t="shared" si="4"/>
        <v>0</v>
      </c>
      <c r="AF42" s="55">
        <f t="shared" si="4"/>
        <v>0</v>
      </c>
      <c r="AG42" s="55">
        <f t="shared" si="4"/>
        <v>0</v>
      </c>
      <c r="AH42" s="55">
        <f t="shared" si="4"/>
        <v>0</v>
      </c>
      <c r="AI42" s="56">
        <f t="shared" si="4"/>
        <v>0</v>
      </c>
      <c r="AJ42" s="56">
        <f>SUM(AJ32:AJ41)</f>
        <v>0</v>
      </c>
      <c r="AK42" s="54">
        <f>SUM(AK32:AK41)</f>
        <v>2592</v>
      </c>
      <c r="AL42" s="36"/>
      <c r="AM42" s="98"/>
    </row>
    <row r="43" spans="2:39" ht="21" thickBot="1" x14ac:dyDescent="0.3">
      <c r="B43" s="145" t="s">
        <v>124</v>
      </c>
      <c r="C43" s="146"/>
      <c r="D43" s="146"/>
      <c r="E43" s="146" t="s">
        <v>28</v>
      </c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8"/>
    </row>
    <row r="44" spans="2:39" ht="39.75" customHeight="1" x14ac:dyDescent="0.25">
      <c r="B44" s="149" t="s">
        <v>20</v>
      </c>
      <c r="C44" s="150"/>
      <c r="D44" s="98"/>
      <c r="E44" s="43"/>
      <c r="F44" s="33"/>
      <c r="G44" s="33"/>
      <c r="H44" s="48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4"/>
      <c r="AJ44" s="34"/>
      <c r="AK44" s="35"/>
      <c r="AL44" s="36"/>
      <c r="AM44" s="98"/>
    </row>
    <row r="45" spans="2:39" ht="18.75" x14ac:dyDescent="0.25">
      <c r="B45" s="30"/>
      <c r="C45" s="100" t="s">
        <v>16</v>
      </c>
      <c r="D45" s="97" t="s">
        <v>22</v>
      </c>
      <c r="E45" s="43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35"/>
      <c r="AL45" s="51">
        <f>SUM(F45:AJ45)</f>
        <v>0</v>
      </c>
      <c r="AM45" s="98"/>
    </row>
    <row r="46" spans="2:39" ht="18.75" x14ac:dyDescent="0.25">
      <c r="B46" s="161" t="s">
        <v>21</v>
      </c>
      <c r="C46" s="52" t="s">
        <v>29</v>
      </c>
      <c r="D46" s="164" t="s">
        <v>22</v>
      </c>
      <c r="E46" s="53">
        <f>AK46+430+70</f>
        <v>500</v>
      </c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85"/>
      <c r="S46" s="85"/>
      <c r="T46" s="85"/>
      <c r="U46" s="85"/>
      <c r="V46" s="86"/>
      <c r="W46" s="86"/>
      <c r="X46" s="85"/>
      <c r="Y46" s="55"/>
      <c r="Z46" s="33"/>
      <c r="AA46" s="33"/>
      <c r="AB46" s="33"/>
      <c r="AC46" s="33"/>
      <c r="AD46" s="33"/>
      <c r="AE46" s="33"/>
      <c r="AF46" s="33"/>
      <c r="AG46" s="33"/>
      <c r="AH46" s="33"/>
      <c r="AI46" s="34"/>
      <c r="AJ46" s="34"/>
      <c r="AK46" s="54">
        <f t="shared" ref="AK46:AK54" si="5">SUM(F46:AJ46)</f>
        <v>0</v>
      </c>
      <c r="AL46" s="36"/>
      <c r="AM46" s="98"/>
    </row>
    <row r="47" spans="2:39" ht="18.75" x14ac:dyDescent="0.25">
      <c r="B47" s="162"/>
      <c r="C47" s="52" t="s">
        <v>126</v>
      </c>
      <c r="D47" s="165"/>
      <c r="E47" s="53">
        <f>AK47+100</f>
        <v>100</v>
      </c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5"/>
      <c r="S47" s="85"/>
      <c r="T47" s="85"/>
      <c r="U47" s="85"/>
      <c r="V47" s="86"/>
      <c r="W47" s="86"/>
      <c r="X47" s="85"/>
      <c r="Y47" s="55"/>
      <c r="Z47" s="33"/>
      <c r="AA47" s="33"/>
      <c r="AB47" s="33"/>
      <c r="AC47" s="33"/>
      <c r="AD47" s="33"/>
      <c r="AE47" s="33"/>
      <c r="AF47" s="33"/>
      <c r="AG47" s="33"/>
      <c r="AH47" s="33"/>
      <c r="AI47" s="34"/>
      <c r="AJ47" s="34"/>
      <c r="AK47" s="54">
        <f t="shared" si="5"/>
        <v>0</v>
      </c>
      <c r="AL47" s="36"/>
      <c r="AM47" s="98"/>
    </row>
    <row r="48" spans="2:39" ht="18.75" x14ac:dyDescent="0.25">
      <c r="B48" s="162"/>
      <c r="C48" s="52" t="s">
        <v>31</v>
      </c>
      <c r="D48" s="165"/>
      <c r="E48" s="53">
        <f t="shared" ref="E48:E53" si="6">AK48</f>
        <v>0</v>
      </c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85"/>
      <c r="S48" s="85"/>
      <c r="T48" s="85"/>
      <c r="U48" s="85"/>
      <c r="V48" s="86"/>
      <c r="W48" s="86"/>
      <c r="X48" s="85"/>
      <c r="Y48" s="55"/>
      <c r="Z48" s="33"/>
      <c r="AA48" s="33"/>
      <c r="AB48" s="33"/>
      <c r="AC48" s="33"/>
      <c r="AD48" s="33"/>
      <c r="AE48" s="33"/>
      <c r="AF48" s="33"/>
      <c r="AG48" s="33"/>
      <c r="AH48" s="33"/>
      <c r="AI48" s="34"/>
      <c r="AJ48" s="34"/>
      <c r="AK48" s="54">
        <f t="shared" si="5"/>
        <v>0</v>
      </c>
      <c r="AL48" s="36"/>
      <c r="AM48" s="98"/>
    </row>
    <row r="49" spans="1:40" ht="18.75" x14ac:dyDescent="0.25">
      <c r="B49" s="162"/>
      <c r="C49" s="52" t="s">
        <v>130</v>
      </c>
      <c r="D49" s="165"/>
      <c r="E49" s="53">
        <f>AK49+3620+3070+140</f>
        <v>8670</v>
      </c>
      <c r="F49" s="33"/>
      <c r="G49" s="33"/>
      <c r="H49" s="33">
        <v>130</v>
      </c>
      <c r="I49" s="33">
        <v>100</v>
      </c>
      <c r="J49" s="33">
        <v>120</v>
      </c>
      <c r="K49" s="55">
        <v>140</v>
      </c>
      <c r="L49" s="55"/>
      <c r="M49" s="55"/>
      <c r="N49" s="55">
        <v>100</v>
      </c>
      <c r="O49" s="55">
        <v>130</v>
      </c>
      <c r="P49" s="55">
        <v>150</v>
      </c>
      <c r="Q49" s="55">
        <v>170</v>
      </c>
      <c r="R49" s="55">
        <v>130</v>
      </c>
      <c r="S49" s="55"/>
      <c r="T49" s="55"/>
      <c r="U49" s="55">
        <v>90</v>
      </c>
      <c r="V49" s="86">
        <v>100</v>
      </c>
      <c r="W49" s="86"/>
      <c r="X49" s="55">
        <v>100</v>
      </c>
      <c r="Y49" s="55">
        <v>150</v>
      </c>
      <c r="Z49" s="55">
        <v>100</v>
      </c>
      <c r="AA49" s="55">
        <v>130</v>
      </c>
      <c r="AB49" s="55"/>
      <c r="AC49" s="55"/>
      <c r="AD49" s="55"/>
      <c r="AE49" s="55"/>
      <c r="AF49" s="55"/>
      <c r="AG49" s="55"/>
      <c r="AH49" s="55"/>
      <c r="AI49" s="56"/>
      <c r="AJ49" s="34"/>
      <c r="AK49" s="54">
        <f t="shared" si="5"/>
        <v>1840</v>
      </c>
      <c r="AL49" s="36"/>
      <c r="AM49" s="98"/>
    </row>
    <row r="50" spans="1:40" ht="18.75" hidden="1" x14ac:dyDescent="0.25">
      <c r="B50" s="162"/>
      <c r="C50" s="52" t="s">
        <v>33</v>
      </c>
      <c r="D50" s="165"/>
      <c r="E50" s="53">
        <f t="shared" si="6"/>
        <v>0</v>
      </c>
      <c r="F50" s="55"/>
      <c r="G50" s="55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100"/>
      <c r="W50" s="100"/>
      <c r="X50" s="55"/>
      <c r="Y50" s="55"/>
      <c r="Z50" s="55"/>
      <c r="AA50" s="55"/>
      <c r="AB50" s="55"/>
      <c r="AC50" s="55"/>
      <c r="AD50" s="55"/>
      <c r="AE50" s="55"/>
      <c r="AF50" s="33"/>
      <c r="AG50" s="33"/>
      <c r="AH50" s="33"/>
      <c r="AI50" s="34"/>
      <c r="AJ50" s="34"/>
      <c r="AK50" s="54">
        <f t="shared" si="5"/>
        <v>0</v>
      </c>
      <c r="AL50" s="36"/>
      <c r="AM50" s="98"/>
    </row>
    <row r="51" spans="1:40" ht="18.75" hidden="1" x14ac:dyDescent="0.25">
      <c r="B51" s="162"/>
      <c r="C51" s="52" t="s">
        <v>34</v>
      </c>
      <c r="D51" s="165"/>
      <c r="E51" s="53">
        <f t="shared" si="6"/>
        <v>0</v>
      </c>
      <c r="F51" s="33"/>
      <c r="G51" s="55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40"/>
      <c r="W51" s="40"/>
      <c r="X51" s="33"/>
      <c r="Y51" s="33"/>
      <c r="Z51" s="33"/>
      <c r="AA51" s="33"/>
      <c r="AB51" s="33"/>
      <c r="AC51" s="55"/>
      <c r="AD51" s="33"/>
      <c r="AE51" s="33"/>
      <c r="AF51" s="33"/>
      <c r="AG51" s="33"/>
      <c r="AH51" s="33"/>
      <c r="AI51" s="34"/>
      <c r="AJ51" s="34"/>
      <c r="AK51" s="54">
        <f t="shared" si="5"/>
        <v>0</v>
      </c>
      <c r="AL51" s="36"/>
      <c r="AM51" s="98"/>
    </row>
    <row r="52" spans="1:40" ht="18.75" hidden="1" x14ac:dyDescent="0.25">
      <c r="B52" s="162"/>
      <c r="C52" s="52" t="s">
        <v>35</v>
      </c>
      <c r="D52" s="165"/>
      <c r="E52" s="53">
        <f t="shared" si="6"/>
        <v>0</v>
      </c>
      <c r="F52" s="33"/>
      <c r="G52" s="55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40"/>
      <c r="W52" s="40"/>
      <c r="X52" s="33"/>
      <c r="Y52" s="33"/>
      <c r="Z52" s="33"/>
      <c r="AA52" s="33"/>
      <c r="AB52" s="33"/>
      <c r="AC52" s="55"/>
      <c r="AD52" s="33"/>
      <c r="AE52" s="33"/>
      <c r="AF52" s="33"/>
      <c r="AG52" s="33"/>
      <c r="AH52" s="33"/>
      <c r="AI52" s="34"/>
      <c r="AJ52" s="34"/>
      <c r="AK52" s="54">
        <f t="shared" si="5"/>
        <v>0</v>
      </c>
      <c r="AL52" s="36"/>
      <c r="AM52" s="98"/>
    </row>
    <row r="53" spans="1:40" ht="18.75" hidden="1" x14ac:dyDescent="0.25">
      <c r="B53" s="162"/>
      <c r="C53" s="52" t="s">
        <v>36</v>
      </c>
      <c r="D53" s="165"/>
      <c r="E53" s="53">
        <f t="shared" si="6"/>
        <v>0</v>
      </c>
      <c r="F53" s="33"/>
      <c r="G53" s="55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40"/>
      <c r="W53" s="40"/>
      <c r="X53" s="33"/>
      <c r="Y53" s="33"/>
      <c r="Z53" s="33"/>
      <c r="AA53" s="33"/>
      <c r="AB53" s="33"/>
      <c r="AC53" s="55"/>
      <c r="AD53" s="33"/>
      <c r="AE53" s="33"/>
      <c r="AF53" s="33"/>
      <c r="AG53" s="33"/>
      <c r="AH53" s="33"/>
      <c r="AI53" s="34"/>
      <c r="AJ53" s="34"/>
      <c r="AK53" s="54">
        <f t="shared" si="5"/>
        <v>0</v>
      </c>
      <c r="AL53" s="36"/>
      <c r="AM53" s="98"/>
    </row>
    <row r="54" spans="1:40" ht="18.75" x14ac:dyDescent="0.25">
      <c r="B54" s="163"/>
      <c r="C54" s="52" t="s">
        <v>125</v>
      </c>
      <c r="D54" s="166"/>
      <c r="E54" s="53">
        <f>AK54+340</f>
        <v>340</v>
      </c>
      <c r="F54" s="33"/>
      <c r="G54" s="55"/>
      <c r="H54" s="55"/>
      <c r="I54" s="55"/>
      <c r="J54" s="55"/>
      <c r="K54" s="55"/>
      <c r="L54" s="55"/>
      <c r="M54" s="33"/>
      <c r="N54" s="33"/>
      <c r="O54" s="33"/>
      <c r="P54" s="33"/>
      <c r="Q54" s="55"/>
      <c r="R54" s="55"/>
      <c r="S54" s="55"/>
      <c r="T54" s="33"/>
      <c r="U54" s="55"/>
      <c r="V54" s="40"/>
      <c r="W54" s="40"/>
      <c r="X54" s="33"/>
      <c r="Y54" s="33"/>
      <c r="Z54" s="33"/>
      <c r="AA54" s="33"/>
      <c r="AB54" s="33"/>
      <c r="AC54" s="55"/>
      <c r="AD54" s="33"/>
      <c r="AE54" s="33"/>
      <c r="AF54" s="33"/>
      <c r="AG54" s="55"/>
      <c r="AH54" s="55"/>
      <c r="AI54" s="56"/>
      <c r="AJ54" s="56"/>
      <c r="AK54" s="54">
        <f t="shared" si="5"/>
        <v>0</v>
      </c>
      <c r="AL54" s="36"/>
      <c r="AM54" s="98"/>
    </row>
    <row r="55" spans="1:40" ht="18.75" x14ac:dyDescent="0.25">
      <c r="B55" s="100" t="s">
        <v>17</v>
      </c>
      <c r="C55" s="52" t="s">
        <v>38</v>
      </c>
      <c r="D55" s="98" t="s">
        <v>22</v>
      </c>
      <c r="E55" s="53">
        <f>SUM(E46:E54)</f>
        <v>9610</v>
      </c>
      <c r="F55" s="55">
        <f t="shared" ref="F55:U55" si="7">SUM(F46:F54)</f>
        <v>0</v>
      </c>
      <c r="G55" s="55">
        <f t="shared" si="7"/>
        <v>0</v>
      </c>
      <c r="H55" s="55">
        <f t="shared" si="7"/>
        <v>130</v>
      </c>
      <c r="I55" s="55">
        <f t="shared" si="7"/>
        <v>100</v>
      </c>
      <c r="J55" s="55">
        <f t="shared" si="7"/>
        <v>120</v>
      </c>
      <c r="K55" s="55">
        <f t="shared" si="7"/>
        <v>140</v>
      </c>
      <c r="L55" s="55">
        <f t="shared" si="7"/>
        <v>0</v>
      </c>
      <c r="M55" s="55">
        <f t="shared" si="7"/>
        <v>0</v>
      </c>
      <c r="N55" s="55">
        <f t="shared" si="7"/>
        <v>100</v>
      </c>
      <c r="O55" s="55">
        <f t="shared" si="7"/>
        <v>130</v>
      </c>
      <c r="P55" s="55">
        <f t="shared" si="7"/>
        <v>150</v>
      </c>
      <c r="Q55" s="55">
        <f t="shared" si="7"/>
        <v>170</v>
      </c>
      <c r="R55" s="55">
        <f t="shared" si="7"/>
        <v>130</v>
      </c>
      <c r="S55" s="55">
        <f t="shared" si="7"/>
        <v>0</v>
      </c>
      <c r="T55" s="55">
        <f t="shared" si="7"/>
        <v>0</v>
      </c>
      <c r="U55" s="55">
        <f t="shared" si="7"/>
        <v>90</v>
      </c>
      <c r="V55" s="40">
        <f>SUM(V46:V54)</f>
        <v>100</v>
      </c>
      <c r="W55" s="40">
        <f t="shared" ref="W55:AI55" si="8">SUM(W46:W54)</f>
        <v>0</v>
      </c>
      <c r="X55" s="55">
        <f t="shared" si="8"/>
        <v>100</v>
      </c>
      <c r="Y55" s="55">
        <f t="shared" si="8"/>
        <v>150</v>
      </c>
      <c r="Z55" s="55">
        <f t="shared" si="8"/>
        <v>100</v>
      </c>
      <c r="AA55" s="55">
        <f t="shared" si="8"/>
        <v>130</v>
      </c>
      <c r="AB55" s="55">
        <f t="shared" si="8"/>
        <v>0</v>
      </c>
      <c r="AC55" s="55">
        <f t="shared" si="8"/>
        <v>0</v>
      </c>
      <c r="AD55" s="55">
        <f t="shared" si="8"/>
        <v>0</v>
      </c>
      <c r="AE55" s="55">
        <f t="shared" si="8"/>
        <v>0</v>
      </c>
      <c r="AF55" s="55">
        <f t="shared" si="8"/>
        <v>0</v>
      </c>
      <c r="AG55" s="55">
        <f t="shared" si="8"/>
        <v>0</v>
      </c>
      <c r="AH55" s="55">
        <f t="shared" si="8"/>
        <v>0</v>
      </c>
      <c r="AI55" s="56">
        <f t="shared" si="8"/>
        <v>0</v>
      </c>
      <c r="AJ55" s="56">
        <f>SUM(AJ46:AJ54)</f>
        <v>0</v>
      </c>
      <c r="AK55" s="54">
        <f>SUM(AK46:AK54)</f>
        <v>1840</v>
      </c>
      <c r="AL55" s="36"/>
      <c r="AM55" s="98"/>
    </row>
    <row r="56" spans="1:40" s="13" customFormat="1" ht="21" thickBot="1" x14ac:dyDescent="0.3">
      <c r="A56" s="30"/>
      <c r="B56" s="142" t="s">
        <v>48</v>
      </c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4"/>
      <c r="AN56" s="21"/>
    </row>
    <row r="57" spans="1:40" ht="21" thickBot="1" x14ac:dyDescent="0.3">
      <c r="B57" s="145" t="s">
        <v>27</v>
      </c>
      <c r="C57" s="146"/>
      <c r="D57" s="146"/>
      <c r="E57" s="146" t="s">
        <v>28</v>
      </c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8"/>
    </row>
    <row r="58" spans="1:40" ht="18.75" x14ac:dyDescent="0.25">
      <c r="B58" s="149" t="s">
        <v>20</v>
      </c>
      <c r="C58" s="150"/>
      <c r="D58" s="98"/>
      <c r="E58" s="4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5"/>
      <c r="AL58" s="36"/>
      <c r="AM58" s="98"/>
    </row>
    <row r="59" spans="1:40" ht="18.75" x14ac:dyDescent="0.25">
      <c r="B59" s="30"/>
      <c r="C59" s="100" t="s">
        <v>16</v>
      </c>
      <c r="D59" s="97" t="s">
        <v>22</v>
      </c>
      <c r="E59" s="43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7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35"/>
      <c r="AL59" s="51">
        <f>SUM(F59:AJ59)</f>
        <v>0</v>
      </c>
      <c r="AM59" s="98"/>
    </row>
    <row r="60" spans="1:40" ht="18.75" x14ac:dyDescent="0.25">
      <c r="B60" s="161" t="s">
        <v>21</v>
      </c>
      <c r="C60" s="52" t="s">
        <v>29</v>
      </c>
      <c r="D60" s="164" t="s">
        <v>22</v>
      </c>
      <c r="E60" s="53">
        <f>+AK60</f>
        <v>0</v>
      </c>
      <c r="F60" s="55"/>
      <c r="G60" s="55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100"/>
      <c r="W60" s="100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4"/>
      <c r="AJ60" s="34"/>
      <c r="AK60" s="54">
        <f t="shared" ref="AK60:AK69" si="9">SUM(F60:AJ60)</f>
        <v>0</v>
      </c>
      <c r="AL60" s="36"/>
      <c r="AM60" s="98"/>
    </row>
    <row r="61" spans="1:40" ht="18.75" x14ac:dyDescent="0.25">
      <c r="B61" s="162"/>
      <c r="C61" s="52" t="s">
        <v>30</v>
      </c>
      <c r="D61" s="165"/>
      <c r="E61" s="53">
        <f>0+AK61</f>
        <v>0</v>
      </c>
      <c r="F61" s="55"/>
      <c r="G61" s="55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100"/>
      <c r="W61" s="100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4"/>
      <c r="AJ61" s="34"/>
      <c r="AK61" s="54">
        <f t="shared" si="9"/>
        <v>0</v>
      </c>
      <c r="AL61" s="36"/>
      <c r="AM61" s="98"/>
    </row>
    <row r="62" spans="1:40" ht="18.75" x14ac:dyDescent="0.25">
      <c r="B62" s="162"/>
      <c r="C62" s="52" t="s">
        <v>31</v>
      </c>
      <c r="D62" s="165"/>
      <c r="E62" s="53">
        <f>+AK62</f>
        <v>0</v>
      </c>
      <c r="F62" s="55"/>
      <c r="G62" s="55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100"/>
      <c r="W62" s="100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4"/>
      <c r="AJ62" s="34"/>
      <c r="AK62" s="54">
        <f t="shared" si="9"/>
        <v>0</v>
      </c>
      <c r="AL62" s="36"/>
      <c r="AM62" s="98"/>
    </row>
    <row r="63" spans="1:40" ht="18.75" x14ac:dyDescent="0.25">
      <c r="B63" s="162"/>
      <c r="C63" s="52" t="s">
        <v>132</v>
      </c>
      <c r="D63" s="165"/>
      <c r="E63" s="53">
        <f>519+AK63+1385+65+60</f>
        <v>3657</v>
      </c>
      <c r="F63" s="55">
        <f>35+65</f>
        <v>100</v>
      </c>
      <c r="G63" s="55">
        <v>40</v>
      </c>
      <c r="H63" s="55">
        <v>60</v>
      </c>
      <c r="I63" s="55">
        <v>105</v>
      </c>
      <c r="J63" s="55">
        <v>105</v>
      </c>
      <c r="K63" s="55">
        <f>35+45</f>
        <v>80</v>
      </c>
      <c r="L63" s="55">
        <v>87</v>
      </c>
      <c r="M63" s="55">
        <v>68</v>
      </c>
      <c r="N63" s="55">
        <v>40</v>
      </c>
      <c r="O63" s="55">
        <f>66+55</f>
        <v>121</v>
      </c>
      <c r="P63" s="55">
        <v>125</v>
      </c>
      <c r="Q63" s="55">
        <v>100</v>
      </c>
      <c r="R63" s="55">
        <v>36</v>
      </c>
      <c r="S63" s="55"/>
      <c r="T63" s="55">
        <f>65+65</f>
        <v>130</v>
      </c>
      <c r="U63" s="55">
        <v>65</v>
      </c>
      <c r="V63" s="40">
        <f>65+38</f>
        <v>103</v>
      </c>
      <c r="W63" s="40">
        <f>28+35</f>
        <v>63</v>
      </c>
      <c r="X63" s="55">
        <v>100</v>
      </c>
      <c r="Y63" s="33">
        <f>65+35</f>
        <v>100</v>
      </c>
      <c r="Z63" s="33"/>
      <c r="AA63" s="33"/>
      <c r="AB63" s="55"/>
      <c r="AC63" s="33"/>
      <c r="AD63" s="33"/>
      <c r="AE63" s="55"/>
      <c r="AF63" s="55"/>
      <c r="AG63" s="55"/>
      <c r="AH63" s="55"/>
      <c r="AI63" s="56"/>
      <c r="AJ63" s="34"/>
      <c r="AK63" s="54">
        <f t="shared" si="9"/>
        <v>1628</v>
      </c>
      <c r="AL63" s="36"/>
      <c r="AM63" s="98"/>
    </row>
    <row r="64" spans="1:40" ht="18.75" x14ac:dyDescent="0.25">
      <c r="B64" s="162"/>
      <c r="C64" s="52" t="s">
        <v>40</v>
      </c>
      <c r="D64" s="165"/>
      <c r="E64" s="53">
        <f>1201+AK64+1358+60+60</f>
        <v>4077</v>
      </c>
      <c r="F64" s="55">
        <f>30+55</f>
        <v>85</v>
      </c>
      <c r="G64" s="55">
        <v>30</v>
      </c>
      <c r="H64" s="55">
        <v>60</v>
      </c>
      <c r="I64" s="55">
        <v>95</v>
      </c>
      <c r="J64" s="55">
        <v>95</v>
      </c>
      <c r="K64" s="55">
        <f>55+45</f>
        <v>100</v>
      </c>
      <c r="L64" s="55">
        <v>75</v>
      </c>
      <c r="M64" s="55">
        <v>60</v>
      </c>
      <c r="N64" s="55">
        <v>35</v>
      </c>
      <c r="O64" s="55">
        <f>50+45</f>
        <v>95</v>
      </c>
      <c r="P64" s="55">
        <v>105</v>
      </c>
      <c r="Q64" s="55">
        <f>35+45</f>
        <v>80</v>
      </c>
      <c r="R64" s="55">
        <v>28</v>
      </c>
      <c r="S64" s="55"/>
      <c r="T64" s="33">
        <f>55+55</f>
        <v>110</v>
      </c>
      <c r="U64" s="55">
        <v>55</v>
      </c>
      <c r="V64" s="40">
        <f>55+30</f>
        <v>85</v>
      </c>
      <c r="W64" s="40">
        <f>20+25</f>
        <v>45</v>
      </c>
      <c r="X64" s="55">
        <v>80</v>
      </c>
      <c r="Y64" s="33">
        <f>55+25</f>
        <v>80</v>
      </c>
      <c r="Z64" s="33"/>
      <c r="AA64" s="33"/>
      <c r="AB64" s="55"/>
      <c r="AC64" s="33"/>
      <c r="AD64" s="33"/>
      <c r="AE64" s="55"/>
      <c r="AF64" s="55"/>
      <c r="AG64" s="55"/>
      <c r="AH64" s="55"/>
      <c r="AI64" s="56"/>
      <c r="AJ64" s="34"/>
      <c r="AK64" s="54">
        <f t="shared" si="9"/>
        <v>1398</v>
      </c>
      <c r="AL64" s="36"/>
      <c r="AM64" s="98"/>
    </row>
    <row r="65" spans="2:39" ht="18.75" hidden="1" x14ac:dyDescent="0.25">
      <c r="B65" s="162"/>
      <c r="C65" s="52" t="s">
        <v>34</v>
      </c>
      <c r="D65" s="165"/>
      <c r="E65" s="53">
        <v>0</v>
      </c>
      <c r="F65" s="55"/>
      <c r="G65" s="55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40"/>
      <c r="W65" s="40"/>
      <c r="X65" s="33"/>
      <c r="Y65" s="33"/>
      <c r="Z65" s="33"/>
      <c r="AA65" s="33"/>
      <c r="AB65" s="33"/>
      <c r="AC65" s="33"/>
      <c r="AD65" s="55"/>
      <c r="AE65" s="55"/>
      <c r="AF65" s="55"/>
      <c r="AG65" s="33"/>
      <c r="AH65" s="33"/>
      <c r="AI65" s="34"/>
      <c r="AJ65" s="34"/>
      <c r="AK65" s="54">
        <f t="shared" si="9"/>
        <v>0</v>
      </c>
      <c r="AL65" s="36"/>
      <c r="AM65" s="98"/>
    </row>
    <row r="66" spans="2:39" ht="18.75" x14ac:dyDescent="0.25">
      <c r="B66" s="162"/>
      <c r="C66" s="52" t="s">
        <v>49</v>
      </c>
      <c r="D66" s="165"/>
      <c r="E66" s="53">
        <f>577+AK66</f>
        <v>577</v>
      </c>
      <c r="F66" s="55"/>
      <c r="G66" s="55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40"/>
      <c r="W66" s="40"/>
      <c r="X66" s="33"/>
      <c r="Y66" s="33"/>
      <c r="Z66" s="33"/>
      <c r="AA66" s="33"/>
      <c r="AB66" s="33"/>
      <c r="AC66" s="55"/>
      <c r="AD66" s="55"/>
      <c r="AE66" s="55"/>
      <c r="AF66" s="55"/>
      <c r="AG66" s="55"/>
      <c r="AH66" s="55"/>
      <c r="AI66" s="56"/>
      <c r="AJ66" s="56"/>
      <c r="AK66" s="54">
        <f t="shared" si="9"/>
        <v>0</v>
      </c>
      <c r="AL66" s="36"/>
      <c r="AM66" s="98"/>
    </row>
    <row r="67" spans="2:39" ht="18.75" hidden="1" x14ac:dyDescent="0.25">
      <c r="B67" s="162"/>
      <c r="C67" s="52" t="s">
        <v>35</v>
      </c>
      <c r="D67" s="165"/>
      <c r="E67" s="53">
        <v>0</v>
      </c>
      <c r="F67" s="33"/>
      <c r="G67" s="55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40"/>
      <c r="W67" s="40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4"/>
      <c r="AJ67" s="34"/>
      <c r="AK67" s="54">
        <f t="shared" si="9"/>
        <v>0</v>
      </c>
      <c r="AL67" s="36"/>
      <c r="AM67" s="98"/>
    </row>
    <row r="68" spans="2:39" ht="18.75" hidden="1" x14ac:dyDescent="0.25">
      <c r="B68" s="162"/>
      <c r="C68" s="52" t="s">
        <v>36</v>
      </c>
      <c r="D68" s="165"/>
      <c r="E68" s="53">
        <v>0</v>
      </c>
      <c r="F68" s="33"/>
      <c r="G68" s="55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40"/>
      <c r="W68" s="40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4"/>
      <c r="AJ68" s="34"/>
      <c r="AK68" s="54">
        <f t="shared" si="9"/>
        <v>0</v>
      </c>
      <c r="AL68" s="36"/>
      <c r="AM68" s="98"/>
    </row>
    <row r="69" spans="2:39" ht="18.75" hidden="1" x14ac:dyDescent="0.25">
      <c r="B69" s="163"/>
      <c r="C69" s="52" t="s">
        <v>37</v>
      </c>
      <c r="D69" s="166"/>
      <c r="E69" s="53">
        <f>+AK69</f>
        <v>0</v>
      </c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100"/>
      <c r="W69" s="100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4"/>
      <c r="AJ69" s="34"/>
      <c r="AK69" s="54">
        <f t="shared" si="9"/>
        <v>0</v>
      </c>
      <c r="AL69" s="36"/>
      <c r="AM69" s="98"/>
    </row>
    <row r="70" spans="2:39" ht="19.5" thickBot="1" x14ac:dyDescent="0.3">
      <c r="B70" s="119" t="s">
        <v>17</v>
      </c>
      <c r="C70" s="121" t="s">
        <v>38</v>
      </c>
      <c r="D70" s="72" t="s">
        <v>22</v>
      </c>
      <c r="E70" s="122">
        <f>SUM(E60:E69)</f>
        <v>8311</v>
      </c>
      <c r="F70" s="55">
        <f t="shared" ref="F70:U70" si="10">SUM(F60:F69)</f>
        <v>185</v>
      </c>
      <c r="G70" s="55">
        <f t="shared" si="10"/>
        <v>70</v>
      </c>
      <c r="H70" s="55">
        <f t="shared" si="10"/>
        <v>120</v>
      </c>
      <c r="I70" s="55">
        <f t="shared" si="10"/>
        <v>200</v>
      </c>
      <c r="J70" s="55">
        <f t="shared" si="10"/>
        <v>200</v>
      </c>
      <c r="K70" s="55">
        <f t="shared" si="10"/>
        <v>180</v>
      </c>
      <c r="L70" s="55">
        <f t="shared" si="10"/>
        <v>162</v>
      </c>
      <c r="M70" s="55">
        <f t="shared" si="10"/>
        <v>128</v>
      </c>
      <c r="N70" s="55">
        <f t="shared" si="10"/>
        <v>75</v>
      </c>
      <c r="O70" s="55">
        <f t="shared" si="10"/>
        <v>216</v>
      </c>
      <c r="P70" s="55">
        <f t="shared" si="10"/>
        <v>230</v>
      </c>
      <c r="Q70" s="55">
        <f t="shared" si="10"/>
        <v>180</v>
      </c>
      <c r="R70" s="55">
        <f t="shared" si="10"/>
        <v>64</v>
      </c>
      <c r="S70" s="55">
        <f t="shared" si="10"/>
        <v>0</v>
      </c>
      <c r="T70" s="55">
        <f t="shared" si="10"/>
        <v>240</v>
      </c>
      <c r="U70" s="55">
        <f t="shared" si="10"/>
        <v>120</v>
      </c>
      <c r="V70" s="40">
        <f>SUM(V60:V69)</f>
        <v>188</v>
      </c>
      <c r="W70" s="40">
        <f t="shared" ref="W70:AI70" si="11">SUM(W60:W69)</f>
        <v>108</v>
      </c>
      <c r="X70" s="55">
        <f t="shared" si="11"/>
        <v>180</v>
      </c>
      <c r="Y70" s="55">
        <f t="shared" si="11"/>
        <v>180</v>
      </c>
      <c r="Z70" s="55">
        <f t="shared" si="11"/>
        <v>0</v>
      </c>
      <c r="AA70" s="55">
        <f t="shared" si="11"/>
        <v>0</v>
      </c>
      <c r="AB70" s="55">
        <f t="shared" si="11"/>
        <v>0</v>
      </c>
      <c r="AC70" s="55">
        <f t="shared" si="11"/>
        <v>0</v>
      </c>
      <c r="AD70" s="55">
        <f t="shared" si="11"/>
        <v>0</v>
      </c>
      <c r="AE70" s="55">
        <f t="shared" si="11"/>
        <v>0</v>
      </c>
      <c r="AF70" s="55">
        <f t="shared" si="11"/>
        <v>0</v>
      </c>
      <c r="AG70" s="55">
        <f t="shared" si="11"/>
        <v>0</v>
      </c>
      <c r="AH70" s="55">
        <f t="shared" si="11"/>
        <v>0</v>
      </c>
      <c r="AI70" s="56">
        <f t="shared" si="11"/>
        <v>0</v>
      </c>
      <c r="AJ70" s="56">
        <f>SUM(AJ60:AJ69)</f>
        <v>0</v>
      </c>
      <c r="AK70" s="54">
        <f>SUM(AK60:AK69)</f>
        <v>3026</v>
      </c>
      <c r="AL70" s="36"/>
      <c r="AM70" s="98"/>
    </row>
    <row r="71" spans="2:39" ht="21" hidden="1" thickBot="1" x14ac:dyDescent="0.3">
      <c r="B71" s="145" t="s">
        <v>41</v>
      </c>
      <c r="C71" s="146"/>
      <c r="D71" s="146"/>
      <c r="E71" s="146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8"/>
    </row>
    <row r="72" spans="2:39" ht="21" hidden="1" thickBot="1" x14ac:dyDescent="0.3">
      <c r="B72" s="145" t="s">
        <v>50</v>
      </c>
      <c r="C72" s="146"/>
      <c r="D72" s="146"/>
      <c r="E72" s="146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8"/>
    </row>
    <row r="73" spans="2:39" ht="18.75" hidden="1" x14ac:dyDescent="0.25">
      <c r="B73" s="149" t="s">
        <v>20</v>
      </c>
      <c r="C73" s="150"/>
      <c r="D73" s="98"/>
      <c r="E73" s="32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4"/>
      <c r="AJ73" s="34"/>
      <c r="AK73" s="35"/>
      <c r="AL73" s="36"/>
      <c r="AM73" s="98"/>
    </row>
    <row r="74" spans="2:39" ht="18.75" hidden="1" x14ac:dyDescent="0.25">
      <c r="B74" s="151" t="s">
        <v>21</v>
      </c>
      <c r="C74" s="100" t="s">
        <v>16</v>
      </c>
      <c r="D74" s="153" t="s">
        <v>22</v>
      </c>
      <c r="E74" s="155">
        <f>+AK74+183</f>
        <v>183</v>
      </c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157">
        <f>SUM(F75:AJ75)</f>
        <v>0</v>
      </c>
      <c r="AL74" s="159">
        <f>SUM(F74:AJ74)</f>
        <v>0</v>
      </c>
      <c r="AM74" s="96"/>
    </row>
    <row r="75" spans="2:39" ht="18.75" hidden="1" x14ac:dyDescent="0.25">
      <c r="B75" s="152"/>
      <c r="C75" s="100" t="s">
        <v>23</v>
      </c>
      <c r="D75" s="154"/>
      <c r="E75" s="156"/>
      <c r="F75" s="39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158"/>
      <c r="AL75" s="160"/>
      <c r="AM75" s="98"/>
    </row>
    <row r="76" spans="2:39" ht="19.5" hidden="1" thickBot="1" x14ac:dyDescent="0.3">
      <c r="B76" s="99" t="s">
        <v>17</v>
      </c>
      <c r="C76" s="100" t="s">
        <v>24</v>
      </c>
      <c r="D76" s="101" t="s">
        <v>22</v>
      </c>
      <c r="E76" s="59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1"/>
      <c r="AL76" s="40"/>
      <c r="AM76" s="62"/>
    </row>
    <row r="77" spans="2:39" ht="21" hidden="1" thickBot="1" x14ac:dyDescent="0.3">
      <c r="B77" s="145" t="s">
        <v>51</v>
      </c>
      <c r="C77" s="146"/>
      <c r="D77" s="146"/>
      <c r="E77" s="146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  <c r="AM77" s="148"/>
    </row>
    <row r="78" spans="2:39" ht="18.75" hidden="1" x14ac:dyDescent="0.25">
      <c r="B78" s="149" t="s">
        <v>20</v>
      </c>
      <c r="C78" s="150"/>
      <c r="D78" s="98"/>
      <c r="E78" s="32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4"/>
      <c r="AJ78" s="34"/>
      <c r="AK78" s="35"/>
      <c r="AL78" s="36"/>
      <c r="AM78" s="98"/>
    </row>
    <row r="79" spans="2:39" ht="18.75" hidden="1" x14ac:dyDescent="0.25">
      <c r="B79" s="151" t="s">
        <v>21</v>
      </c>
      <c r="C79" s="100" t="s">
        <v>16</v>
      </c>
      <c r="D79" s="153" t="s">
        <v>22</v>
      </c>
      <c r="E79" s="155">
        <f>60+AK79</f>
        <v>60</v>
      </c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157">
        <f>SUM(F80:AJ80)</f>
        <v>0</v>
      </c>
      <c r="AL79" s="159">
        <f>SUM(F79:AJ79)</f>
        <v>0</v>
      </c>
      <c r="AM79" s="96"/>
    </row>
    <row r="80" spans="2:39" ht="18.75" hidden="1" x14ac:dyDescent="0.25">
      <c r="B80" s="152"/>
      <c r="C80" s="100" t="s">
        <v>23</v>
      </c>
      <c r="D80" s="154"/>
      <c r="E80" s="156"/>
      <c r="F80" s="39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158"/>
      <c r="AL80" s="160"/>
      <c r="AM80" s="98"/>
    </row>
    <row r="81" spans="2:39" ht="19.5" hidden="1" thickBot="1" x14ac:dyDescent="0.3">
      <c r="B81" s="99" t="s">
        <v>17</v>
      </c>
      <c r="C81" s="100" t="s">
        <v>24</v>
      </c>
      <c r="D81" s="101" t="s">
        <v>22</v>
      </c>
      <c r="E81" s="59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1"/>
      <c r="AL81" s="40"/>
      <c r="AM81" s="62"/>
    </row>
    <row r="82" spans="2:39" ht="21" hidden="1" thickBot="1" x14ac:dyDescent="0.3">
      <c r="B82" s="145" t="s">
        <v>52</v>
      </c>
      <c r="C82" s="146"/>
      <c r="D82" s="146"/>
      <c r="E82" s="146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8"/>
    </row>
    <row r="83" spans="2:39" ht="18.75" hidden="1" x14ac:dyDescent="0.25">
      <c r="B83" s="149" t="s">
        <v>20</v>
      </c>
      <c r="C83" s="150"/>
      <c r="D83" s="98"/>
      <c r="E83" s="32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4"/>
      <c r="AJ83" s="34"/>
      <c r="AK83" s="35"/>
      <c r="AL83" s="36"/>
      <c r="AM83" s="98"/>
    </row>
    <row r="84" spans="2:39" ht="18.75" hidden="1" x14ac:dyDescent="0.25">
      <c r="B84" s="151" t="s">
        <v>21</v>
      </c>
      <c r="C84" s="100" t="s">
        <v>16</v>
      </c>
      <c r="D84" s="153" t="s">
        <v>22</v>
      </c>
      <c r="E84" s="155">
        <f>160+AK84</f>
        <v>160</v>
      </c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157">
        <f>SUM(F85:AJ85)</f>
        <v>0</v>
      </c>
      <c r="AL84" s="159">
        <f>SUM(F84:AJ84)</f>
        <v>0</v>
      </c>
      <c r="AM84" s="96"/>
    </row>
    <row r="85" spans="2:39" ht="18.75" hidden="1" x14ac:dyDescent="0.25">
      <c r="B85" s="152"/>
      <c r="C85" s="100" t="s">
        <v>23</v>
      </c>
      <c r="D85" s="154"/>
      <c r="E85" s="156"/>
      <c r="F85" s="39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158"/>
      <c r="AL85" s="160"/>
      <c r="AM85" s="98"/>
    </row>
    <row r="86" spans="2:39" ht="19.5" hidden="1" thickBot="1" x14ac:dyDescent="0.3">
      <c r="B86" s="99" t="s">
        <v>17</v>
      </c>
      <c r="C86" s="100" t="s">
        <v>24</v>
      </c>
      <c r="D86" s="101" t="s">
        <v>22</v>
      </c>
      <c r="E86" s="59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1"/>
      <c r="AL86" s="40"/>
      <c r="AM86" s="62"/>
    </row>
    <row r="87" spans="2:39" ht="21" hidden="1" thickBot="1" x14ac:dyDescent="0.3">
      <c r="B87" s="145" t="s">
        <v>53</v>
      </c>
      <c r="C87" s="146"/>
      <c r="D87" s="146"/>
      <c r="E87" s="146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8"/>
    </row>
    <row r="88" spans="2:39" ht="18.75" hidden="1" x14ac:dyDescent="0.25">
      <c r="B88" s="149" t="s">
        <v>20</v>
      </c>
      <c r="C88" s="150"/>
      <c r="D88" s="98"/>
      <c r="E88" s="32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4"/>
      <c r="AJ88" s="34"/>
      <c r="AK88" s="35"/>
      <c r="AL88" s="36"/>
      <c r="AM88" s="98"/>
    </row>
    <row r="89" spans="2:39" ht="18.75" hidden="1" x14ac:dyDescent="0.25">
      <c r="B89" s="151" t="s">
        <v>21</v>
      </c>
      <c r="C89" s="100" t="s">
        <v>16</v>
      </c>
      <c r="D89" s="153" t="s">
        <v>22</v>
      </c>
      <c r="E89" s="155">
        <f>129+AK89</f>
        <v>129</v>
      </c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157">
        <f>SUM(F90:AJ90)</f>
        <v>0</v>
      </c>
      <c r="AL89" s="159">
        <f>SUM(F89:AJ89)</f>
        <v>0</v>
      </c>
      <c r="AM89" s="96"/>
    </row>
    <row r="90" spans="2:39" ht="18.75" hidden="1" x14ac:dyDescent="0.25">
      <c r="B90" s="152"/>
      <c r="C90" s="100" t="s">
        <v>23</v>
      </c>
      <c r="D90" s="154"/>
      <c r="E90" s="156"/>
      <c r="F90" s="39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158"/>
      <c r="AL90" s="160"/>
      <c r="AM90" s="98"/>
    </row>
    <row r="91" spans="2:39" ht="19.5" hidden="1" thickBot="1" x14ac:dyDescent="0.3">
      <c r="B91" s="99" t="s">
        <v>17</v>
      </c>
      <c r="C91" s="100" t="s">
        <v>24</v>
      </c>
      <c r="D91" s="101" t="s">
        <v>22</v>
      </c>
      <c r="E91" s="59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1"/>
      <c r="AL91" s="40"/>
      <c r="AM91" s="62"/>
    </row>
    <row r="92" spans="2:39" ht="21" hidden="1" thickBot="1" x14ac:dyDescent="0.3">
      <c r="B92" s="145" t="s">
        <v>54</v>
      </c>
      <c r="C92" s="146"/>
      <c r="D92" s="146"/>
      <c r="E92" s="146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8"/>
    </row>
    <row r="93" spans="2:39" ht="18.75" hidden="1" x14ac:dyDescent="0.25">
      <c r="B93" s="149" t="s">
        <v>20</v>
      </c>
      <c r="C93" s="150"/>
      <c r="D93" s="98"/>
      <c r="E93" s="32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4"/>
      <c r="AJ93" s="34"/>
      <c r="AK93" s="35"/>
      <c r="AL93" s="36"/>
      <c r="AM93" s="98"/>
    </row>
    <row r="94" spans="2:39" ht="18.75" hidden="1" x14ac:dyDescent="0.25">
      <c r="B94" s="151" t="s">
        <v>21</v>
      </c>
      <c r="C94" s="100" t="s">
        <v>16</v>
      </c>
      <c r="D94" s="153" t="s">
        <v>22</v>
      </c>
      <c r="E94" s="155">
        <f>+AK94+9300+1012</f>
        <v>10312</v>
      </c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157">
        <f>SUM(F95:AJ95)</f>
        <v>0</v>
      </c>
      <c r="AL94" s="159">
        <f>SUM(F94:AJ94)</f>
        <v>0</v>
      </c>
      <c r="AM94" s="96"/>
    </row>
    <row r="95" spans="2:39" ht="18.75" hidden="1" x14ac:dyDescent="0.25">
      <c r="B95" s="152"/>
      <c r="C95" s="100" t="s">
        <v>23</v>
      </c>
      <c r="D95" s="154"/>
      <c r="E95" s="156"/>
      <c r="F95" s="39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158"/>
      <c r="AL95" s="160"/>
      <c r="AM95" s="98"/>
    </row>
    <row r="96" spans="2:39" ht="19.5" hidden="1" thickBot="1" x14ac:dyDescent="0.3">
      <c r="B96" s="99" t="s">
        <v>17</v>
      </c>
      <c r="C96" s="100" t="s">
        <v>24</v>
      </c>
      <c r="D96" s="101" t="s">
        <v>22</v>
      </c>
      <c r="E96" s="59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1"/>
      <c r="AL96" s="40"/>
      <c r="AM96" s="62"/>
    </row>
    <row r="97" spans="2:39" ht="21" thickBot="1" x14ac:dyDescent="0.3">
      <c r="B97" s="145" t="s">
        <v>134</v>
      </c>
      <c r="C97" s="146"/>
      <c r="D97" s="146"/>
      <c r="E97" s="146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8"/>
    </row>
    <row r="98" spans="2:39" ht="18.75" x14ac:dyDescent="0.25">
      <c r="B98" s="149" t="s">
        <v>20</v>
      </c>
      <c r="C98" s="150"/>
      <c r="D98" s="107"/>
      <c r="E98" s="32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4"/>
      <c r="AJ98" s="34"/>
      <c r="AK98" s="35"/>
      <c r="AL98" s="36"/>
      <c r="AM98" s="107"/>
    </row>
    <row r="99" spans="2:39" ht="18.75" x14ac:dyDescent="0.25">
      <c r="B99" s="151" t="s">
        <v>21</v>
      </c>
      <c r="C99" s="104" t="s">
        <v>16</v>
      </c>
      <c r="D99" s="153" t="s">
        <v>22</v>
      </c>
      <c r="E99" s="155">
        <f>+AK99+810</f>
        <v>810</v>
      </c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113"/>
      <c r="AG99" s="113"/>
      <c r="AH99" s="113"/>
      <c r="AI99" s="58"/>
      <c r="AJ99" s="58"/>
      <c r="AK99" s="157">
        <f>SUM(F100:AJ100)</f>
        <v>0</v>
      </c>
      <c r="AL99" s="159">
        <f>SUM(F99:AJ99)</f>
        <v>0</v>
      </c>
      <c r="AM99" s="106"/>
    </row>
    <row r="100" spans="2:39" ht="18.75" x14ac:dyDescent="0.25">
      <c r="B100" s="152"/>
      <c r="C100" s="104" t="s">
        <v>23</v>
      </c>
      <c r="D100" s="154"/>
      <c r="E100" s="156"/>
      <c r="F100" s="39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113"/>
      <c r="AG100" s="113"/>
      <c r="AH100" s="113"/>
      <c r="AI100" s="40"/>
      <c r="AJ100" s="40"/>
      <c r="AK100" s="158"/>
      <c r="AL100" s="160"/>
      <c r="AM100" s="107"/>
    </row>
    <row r="101" spans="2:39" ht="19.5" thickBot="1" x14ac:dyDescent="0.3">
      <c r="B101" s="103" t="s">
        <v>17</v>
      </c>
      <c r="C101" s="104" t="s">
        <v>24</v>
      </c>
      <c r="D101" s="105" t="s">
        <v>22</v>
      </c>
      <c r="E101" s="59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1"/>
      <c r="AL101" s="40"/>
      <c r="AM101" s="62"/>
    </row>
    <row r="102" spans="2:39" ht="21" thickBot="1" x14ac:dyDescent="0.3">
      <c r="B102" s="145" t="s">
        <v>135</v>
      </c>
      <c r="C102" s="146"/>
      <c r="D102" s="146"/>
      <c r="E102" s="146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8"/>
    </row>
    <row r="103" spans="2:39" ht="18.75" x14ac:dyDescent="0.25">
      <c r="B103" s="149" t="s">
        <v>20</v>
      </c>
      <c r="C103" s="150"/>
      <c r="D103" s="109"/>
      <c r="E103" s="32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4"/>
      <c r="AJ103" s="34"/>
      <c r="AK103" s="35"/>
      <c r="AL103" s="36"/>
      <c r="AM103" s="109"/>
    </row>
    <row r="104" spans="2:39" ht="18.75" x14ac:dyDescent="0.25">
      <c r="B104" s="151" t="s">
        <v>21</v>
      </c>
      <c r="C104" s="111" t="s">
        <v>16</v>
      </c>
      <c r="D104" s="153" t="s">
        <v>22</v>
      </c>
      <c r="E104" s="155">
        <f>+AK104+30</f>
        <v>30</v>
      </c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113"/>
      <c r="AG104" s="58"/>
      <c r="AH104" s="58"/>
      <c r="AI104" s="58"/>
      <c r="AJ104" s="58"/>
      <c r="AK104" s="157">
        <f>SUM(F105:AJ105)</f>
        <v>0</v>
      </c>
      <c r="AL104" s="159">
        <f>SUM(F104:AJ104)</f>
        <v>0</v>
      </c>
      <c r="AM104" s="108"/>
    </row>
    <row r="105" spans="2:39" ht="18.75" x14ac:dyDescent="0.25">
      <c r="B105" s="152"/>
      <c r="C105" s="111" t="s">
        <v>23</v>
      </c>
      <c r="D105" s="154"/>
      <c r="E105" s="156"/>
      <c r="F105" s="39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113"/>
      <c r="AG105" s="40"/>
      <c r="AH105" s="40"/>
      <c r="AI105" s="40"/>
      <c r="AJ105" s="40"/>
      <c r="AK105" s="158"/>
      <c r="AL105" s="160"/>
      <c r="AM105" s="109"/>
    </row>
    <row r="106" spans="2:39" ht="19.5" thickBot="1" x14ac:dyDescent="0.3">
      <c r="B106" s="110" t="s">
        <v>17</v>
      </c>
      <c r="C106" s="111" t="s">
        <v>24</v>
      </c>
      <c r="D106" s="112" t="s">
        <v>22</v>
      </c>
      <c r="E106" s="59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1"/>
      <c r="AL106" s="40"/>
      <c r="AM106" s="62"/>
    </row>
    <row r="107" spans="2:39" ht="21" thickBot="1" x14ac:dyDescent="0.3">
      <c r="B107" s="145" t="s">
        <v>136</v>
      </c>
      <c r="C107" s="146"/>
      <c r="D107" s="146"/>
      <c r="E107" s="146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8"/>
    </row>
    <row r="108" spans="2:39" ht="18.75" x14ac:dyDescent="0.25">
      <c r="B108" s="149" t="s">
        <v>20</v>
      </c>
      <c r="C108" s="150"/>
      <c r="D108" s="118"/>
      <c r="E108" s="32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4"/>
      <c r="AJ108" s="34"/>
      <c r="AK108" s="35"/>
      <c r="AL108" s="36"/>
      <c r="AM108" s="118"/>
    </row>
    <row r="109" spans="2:39" ht="18.75" x14ac:dyDescent="0.25">
      <c r="B109" s="151" t="s">
        <v>21</v>
      </c>
      <c r="C109" s="115" t="s">
        <v>16</v>
      </c>
      <c r="D109" s="153" t="s">
        <v>22</v>
      </c>
      <c r="E109" s="155">
        <f>+AK109+33</f>
        <v>33</v>
      </c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113"/>
      <c r="AG109" s="113"/>
      <c r="AH109" s="58"/>
      <c r="AI109" s="58"/>
      <c r="AJ109" s="58"/>
      <c r="AK109" s="157">
        <f>SUM(F110:AJ110)</f>
        <v>0</v>
      </c>
      <c r="AL109" s="159">
        <f>SUM(F109:AJ109)</f>
        <v>0</v>
      </c>
      <c r="AM109" s="117"/>
    </row>
    <row r="110" spans="2:39" ht="18.75" x14ac:dyDescent="0.25">
      <c r="B110" s="152"/>
      <c r="C110" s="115" t="s">
        <v>23</v>
      </c>
      <c r="D110" s="154"/>
      <c r="E110" s="156"/>
      <c r="F110" s="39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113"/>
      <c r="AH110" s="40"/>
      <c r="AI110" s="40"/>
      <c r="AJ110" s="40"/>
      <c r="AK110" s="158"/>
      <c r="AL110" s="160"/>
      <c r="AM110" s="118"/>
    </row>
    <row r="111" spans="2:39" ht="18.75" x14ac:dyDescent="0.25">
      <c r="B111" s="114" t="s">
        <v>17</v>
      </c>
      <c r="C111" s="115" t="s">
        <v>24</v>
      </c>
      <c r="D111" s="116" t="s">
        <v>22</v>
      </c>
      <c r="E111" s="59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1"/>
      <c r="AL111" s="40"/>
      <c r="AM111" s="62"/>
    </row>
  </sheetData>
  <mergeCells count="106">
    <mergeCell ref="B94:B95"/>
    <mergeCell ref="D94:D95"/>
    <mergeCell ref="E94:E95"/>
    <mergeCell ref="AK94:AK95"/>
    <mergeCell ref="AL94:AL95"/>
    <mergeCell ref="B102:AM102"/>
    <mergeCell ref="B103:C103"/>
    <mergeCell ref="B104:B105"/>
    <mergeCell ref="D104:D105"/>
    <mergeCell ref="E104:E105"/>
    <mergeCell ref="AK104:AK105"/>
    <mergeCell ref="AL104:AL105"/>
    <mergeCell ref="B87:AM87"/>
    <mergeCell ref="B88:C88"/>
    <mergeCell ref="B89:B90"/>
    <mergeCell ref="D89:D90"/>
    <mergeCell ref="E89:E90"/>
    <mergeCell ref="AK89:AK90"/>
    <mergeCell ref="AL89:AL90"/>
    <mergeCell ref="B92:AM92"/>
    <mergeCell ref="B93:C93"/>
    <mergeCell ref="B78:C78"/>
    <mergeCell ref="B79:B80"/>
    <mergeCell ref="D79:D80"/>
    <mergeCell ref="E79:E80"/>
    <mergeCell ref="AK79:AK80"/>
    <mergeCell ref="AL79:AL80"/>
    <mergeCell ref="B82:AM82"/>
    <mergeCell ref="B83:C83"/>
    <mergeCell ref="B84:B85"/>
    <mergeCell ref="D84:D85"/>
    <mergeCell ref="E84:E85"/>
    <mergeCell ref="AK84:AK85"/>
    <mergeCell ref="AL84:AL85"/>
    <mergeCell ref="B71:AM71"/>
    <mergeCell ref="B72:AM72"/>
    <mergeCell ref="B73:C73"/>
    <mergeCell ref="B74:B75"/>
    <mergeCell ref="D74:D75"/>
    <mergeCell ref="E74:E75"/>
    <mergeCell ref="AK74:AK75"/>
    <mergeCell ref="AL74:AL75"/>
    <mergeCell ref="B77:AM77"/>
    <mergeCell ref="B60:B69"/>
    <mergeCell ref="D60:D69"/>
    <mergeCell ref="B29:AM29"/>
    <mergeCell ref="B30:C30"/>
    <mergeCell ref="B32:B41"/>
    <mergeCell ref="D32:D41"/>
    <mergeCell ref="B43:AM43"/>
    <mergeCell ref="B44:C44"/>
    <mergeCell ref="B46:B54"/>
    <mergeCell ref="D46:D54"/>
    <mergeCell ref="B56:AM56"/>
    <mergeCell ref="B57:AM57"/>
    <mergeCell ref="B58:C58"/>
    <mergeCell ref="B14:C14"/>
    <mergeCell ref="B15:B16"/>
    <mergeCell ref="D15:D16"/>
    <mergeCell ref="E15:E16"/>
    <mergeCell ref="AK15:AK16"/>
    <mergeCell ref="AL15:AL16"/>
    <mergeCell ref="AL26:AL27"/>
    <mergeCell ref="B18:AM18"/>
    <mergeCell ref="B19:C19"/>
    <mergeCell ref="B20:B22"/>
    <mergeCell ref="D20:D22"/>
    <mergeCell ref="AL20:AL22"/>
    <mergeCell ref="B24:AM24"/>
    <mergeCell ref="B25:C25"/>
    <mergeCell ref="B26:B27"/>
    <mergeCell ref="D26:D27"/>
    <mergeCell ref="E26:E27"/>
    <mergeCell ref="AK26:AK27"/>
    <mergeCell ref="B7:AM7"/>
    <mergeCell ref="B8:AM8"/>
    <mergeCell ref="B9:C9"/>
    <mergeCell ref="B10:B11"/>
    <mergeCell ref="D10:D11"/>
    <mergeCell ref="E10:E11"/>
    <mergeCell ref="AK10:AK11"/>
    <mergeCell ref="AL10:AL11"/>
    <mergeCell ref="B13:AM13"/>
    <mergeCell ref="O2:Z2"/>
    <mergeCell ref="AH2:AM2"/>
    <mergeCell ref="B3:AM3"/>
    <mergeCell ref="B4:D4"/>
    <mergeCell ref="E4:E6"/>
    <mergeCell ref="F4:AM4"/>
    <mergeCell ref="B5:D5"/>
    <mergeCell ref="AK5:AM5"/>
    <mergeCell ref="B6:D6"/>
    <mergeCell ref="B107:AM107"/>
    <mergeCell ref="B108:C108"/>
    <mergeCell ref="B109:B110"/>
    <mergeCell ref="D109:D110"/>
    <mergeCell ref="E109:E110"/>
    <mergeCell ref="AK109:AK110"/>
    <mergeCell ref="AL109:AL110"/>
    <mergeCell ref="B97:AM97"/>
    <mergeCell ref="B98:C98"/>
    <mergeCell ref="B99:B100"/>
    <mergeCell ref="D99:D100"/>
    <mergeCell ref="E99:E100"/>
    <mergeCell ref="AK99:AK100"/>
    <mergeCell ref="AL99:AL100"/>
  </mergeCells>
  <pageMargins left="0.70866099999999987" right="0.70866099999999987" top="0.748031" bottom="0.748031" header="0.31496099999999999" footer="0.31496099999999999"/>
  <pageSetup paperSize="9" scale="2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Лист1">
    <pageSetUpPr fitToPage="1"/>
  </sheetPr>
  <dimension ref="A2:BR49"/>
  <sheetViews>
    <sheetView view="pageBreakPreview" topLeftCell="B1" zoomScale="60" workbookViewId="0">
      <pane ySplit="6" topLeftCell="A7" activePane="bottomLeft" state="frozen"/>
      <selection activeCell="I58" sqref="I58"/>
      <selection pane="bottomLeft" activeCell="B1" sqref="B1"/>
    </sheetView>
  </sheetViews>
  <sheetFormatPr defaultRowHeight="15" customHeight="1" x14ac:dyDescent="0.25"/>
  <cols>
    <col min="1" max="1" width="10.5703125" hidden="1" customWidth="1"/>
    <col min="2" max="2" width="9.42578125" customWidth="1"/>
    <col min="3" max="3" width="14.140625" customWidth="1"/>
    <col min="4" max="4" width="7.140625" customWidth="1"/>
    <col min="5" max="5" width="10.85546875" customWidth="1"/>
    <col min="6" max="10" width="10.28515625" customWidth="1"/>
    <col min="11" max="11" width="11.5703125" customWidth="1"/>
    <col min="12" max="34" width="10.28515625" customWidth="1"/>
    <col min="35" max="35" width="10.5703125" customWidth="1"/>
    <col min="36" max="36" width="10.5703125" hidden="1" customWidth="1"/>
    <col min="37" max="37" width="10.5703125" customWidth="1"/>
    <col min="38" max="38" width="10.7109375" customWidth="1"/>
    <col min="39" max="39" width="11.7109375" customWidth="1"/>
  </cols>
  <sheetData>
    <row r="2" spans="1:70" s="2" customFormat="1" ht="30" customHeight="1" x14ac:dyDescent="0.3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4"/>
      <c r="AB2" s="4"/>
      <c r="AC2" s="4"/>
      <c r="AD2" s="4"/>
      <c r="AE2" s="4"/>
      <c r="AF2" s="4"/>
      <c r="AG2" s="4"/>
      <c r="AH2" s="124" t="s">
        <v>55</v>
      </c>
      <c r="AI2" s="124"/>
      <c r="AJ2" s="124"/>
      <c r="AK2" s="124"/>
      <c r="AL2" s="124"/>
      <c r="AM2" s="124"/>
      <c r="AN2" s="5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4"/>
      <c r="BO2" s="4"/>
      <c r="BP2" s="4"/>
      <c r="BQ2" s="4"/>
      <c r="BR2" s="4"/>
    </row>
    <row r="3" spans="1:70" s="2" customFormat="1" ht="50.25" customHeight="1" x14ac:dyDescent="0.25">
      <c r="A3" s="7"/>
      <c r="B3" s="125" t="s">
        <v>1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8"/>
    </row>
    <row r="4" spans="1:70" s="2" customFormat="1" ht="30" customHeight="1" x14ac:dyDescent="0.25">
      <c r="A4" s="9"/>
      <c r="B4" s="126" t="s">
        <v>2</v>
      </c>
      <c r="C4" s="127"/>
      <c r="D4" s="128"/>
      <c r="E4" s="129" t="s">
        <v>3</v>
      </c>
      <c r="F4" s="132" t="s">
        <v>56</v>
      </c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3"/>
      <c r="AN4" s="12"/>
    </row>
    <row r="5" spans="1:70" s="13" customFormat="1" ht="15" customHeight="1" x14ac:dyDescent="0.25">
      <c r="A5" s="14"/>
      <c r="B5" s="134" t="s">
        <v>5</v>
      </c>
      <c r="C5" s="135"/>
      <c r="D5" s="136"/>
      <c r="E5" s="130"/>
      <c r="F5" s="18">
        <v>1</v>
      </c>
      <c r="G5" s="19">
        <v>2</v>
      </c>
      <c r="H5" s="19">
        <v>3</v>
      </c>
      <c r="I5" s="19">
        <v>4</v>
      </c>
      <c r="J5" s="19">
        <v>5</v>
      </c>
      <c r="K5" s="19">
        <v>6</v>
      </c>
      <c r="L5" s="19">
        <v>7</v>
      </c>
      <c r="M5" s="19">
        <v>8</v>
      </c>
      <c r="N5" s="19">
        <v>9</v>
      </c>
      <c r="O5" s="19">
        <v>10</v>
      </c>
      <c r="P5" s="19">
        <v>11</v>
      </c>
      <c r="Q5" s="19">
        <v>12</v>
      </c>
      <c r="R5" s="19">
        <v>13</v>
      </c>
      <c r="S5" s="19">
        <v>14</v>
      </c>
      <c r="T5" s="19">
        <v>15</v>
      </c>
      <c r="U5" s="19">
        <v>16</v>
      </c>
      <c r="V5" s="19">
        <v>17</v>
      </c>
      <c r="W5" s="19">
        <v>18</v>
      </c>
      <c r="X5" s="19">
        <v>19</v>
      </c>
      <c r="Y5" s="19">
        <v>20</v>
      </c>
      <c r="Z5" s="19">
        <v>21</v>
      </c>
      <c r="AA5" s="19">
        <v>22</v>
      </c>
      <c r="AB5" s="19">
        <v>23</v>
      </c>
      <c r="AC5" s="19">
        <v>24</v>
      </c>
      <c r="AD5" s="19">
        <v>25</v>
      </c>
      <c r="AE5" s="19">
        <v>26</v>
      </c>
      <c r="AF5" s="19">
        <v>27</v>
      </c>
      <c r="AG5" s="20">
        <v>28</v>
      </c>
      <c r="AH5" s="19">
        <v>29</v>
      </c>
      <c r="AI5" s="20">
        <v>30</v>
      </c>
      <c r="AJ5" s="20">
        <v>31</v>
      </c>
      <c r="AK5" s="137" t="s">
        <v>6</v>
      </c>
      <c r="AL5" s="137"/>
      <c r="AM5" s="138"/>
      <c r="AN5" s="21"/>
    </row>
    <row r="6" spans="1:70" s="13" customFormat="1" ht="18.75" x14ac:dyDescent="0.25">
      <c r="A6" s="22"/>
      <c r="B6" s="139" t="s">
        <v>7</v>
      </c>
      <c r="C6" s="140"/>
      <c r="D6" s="141"/>
      <c r="E6" s="131"/>
      <c r="F6" s="26" t="s">
        <v>9</v>
      </c>
      <c r="G6" s="26" t="s">
        <v>10</v>
      </c>
      <c r="H6" s="26" t="s">
        <v>11</v>
      </c>
      <c r="I6" s="26" t="s">
        <v>12</v>
      </c>
      <c r="J6" s="26" t="s">
        <v>13</v>
      </c>
      <c r="K6" s="26" t="s">
        <v>14</v>
      </c>
      <c r="L6" s="26" t="s">
        <v>8</v>
      </c>
      <c r="M6" s="26" t="s">
        <v>9</v>
      </c>
      <c r="N6" s="26" t="s">
        <v>10</v>
      </c>
      <c r="O6" s="26" t="s">
        <v>11</v>
      </c>
      <c r="P6" s="26" t="s">
        <v>12</v>
      </c>
      <c r="Q6" s="26" t="s">
        <v>13</v>
      </c>
      <c r="R6" s="26" t="s">
        <v>14</v>
      </c>
      <c r="S6" s="26" t="s">
        <v>8</v>
      </c>
      <c r="T6" s="26" t="s">
        <v>9</v>
      </c>
      <c r="U6" s="26" t="s">
        <v>10</v>
      </c>
      <c r="V6" s="26" t="s">
        <v>11</v>
      </c>
      <c r="W6" s="26" t="s">
        <v>12</v>
      </c>
      <c r="X6" s="26" t="s">
        <v>13</v>
      </c>
      <c r="Y6" s="26" t="s">
        <v>14</v>
      </c>
      <c r="Z6" s="26" t="s">
        <v>8</v>
      </c>
      <c r="AA6" s="26" t="s">
        <v>9</v>
      </c>
      <c r="AB6" s="26" t="s">
        <v>10</v>
      </c>
      <c r="AC6" s="26" t="s">
        <v>11</v>
      </c>
      <c r="AD6" s="26" t="s">
        <v>12</v>
      </c>
      <c r="AE6" s="26" t="s">
        <v>13</v>
      </c>
      <c r="AF6" s="26" t="s">
        <v>14</v>
      </c>
      <c r="AG6" s="26" t="s">
        <v>8</v>
      </c>
      <c r="AH6" s="26" t="s">
        <v>9</v>
      </c>
      <c r="AI6" s="26" t="s">
        <v>10</v>
      </c>
      <c r="AJ6" s="26" t="s">
        <v>11</v>
      </c>
      <c r="AK6" s="27" t="s">
        <v>15</v>
      </c>
      <c r="AL6" s="28" t="s">
        <v>16</v>
      </c>
      <c r="AM6" s="29" t="s">
        <v>17</v>
      </c>
      <c r="AN6" s="21"/>
    </row>
    <row r="7" spans="1:70" s="13" customFormat="1" ht="20.25" x14ac:dyDescent="0.25">
      <c r="A7" s="30"/>
      <c r="B7" s="142" t="s">
        <v>18</v>
      </c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4"/>
      <c r="AN7" s="21"/>
    </row>
    <row r="8" spans="1:70" s="1" customFormat="1" ht="20.25" x14ac:dyDescent="0.25">
      <c r="B8" s="145" t="s">
        <v>19</v>
      </c>
      <c r="C8" s="146"/>
      <c r="D8" s="146"/>
      <c r="E8" s="146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8"/>
    </row>
    <row r="9" spans="1:70" s="1" customFormat="1" ht="131.25" x14ac:dyDescent="0.25">
      <c r="B9" s="149" t="s">
        <v>20</v>
      </c>
      <c r="C9" s="150"/>
      <c r="D9" s="31"/>
      <c r="E9" s="32"/>
      <c r="F9" s="33" t="s">
        <v>57</v>
      </c>
      <c r="G9" s="33"/>
      <c r="H9" s="33"/>
      <c r="I9" s="33"/>
      <c r="J9" s="33" t="s">
        <v>57</v>
      </c>
      <c r="K9" s="33" t="s">
        <v>58</v>
      </c>
      <c r="L9" s="33"/>
      <c r="M9" s="33"/>
      <c r="N9" s="33" t="s">
        <v>57</v>
      </c>
      <c r="O9" s="33" t="s">
        <v>59</v>
      </c>
      <c r="P9" s="33" t="s">
        <v>59</v>
      </c>
      <c r="Q9" s="33" t="s">
        <v>59</v>
      </c>
      <c r="R9" s="33" t="s">
        <v>59</v>
      </c>
      <c r="S9" s="33" t="s">
        <v>59</v>
      </c>
      <c r="T9" s="33" t="s">
        <v>59</v>
      </c>
      <c r="U9" s="33" t="s">
        <v>60</v>
      </c>
      <c r="V9" s="33" t="s">
        <v>60</v>
      </c>
      <c r="W9" s="33" t="s">
        <v>60</v>
      </c>
      <c r="X9" s="33" t="s">
        <v>60</v>
      </c>
      <c r="Y9" s="33" t="s">
        <v>60</v>
      </c>
      <c r="Z9" s="33" t="s">
        <v>60</v>
      </c>
      <c r="AA9" s="33" t="s">
        <v>60</v>
      </c>
      <c r="AB9" s="33" t="s">
        <v>60</v>
      </c>
      <c r="AC9" s="33" t="s">
        <v>61</v>
      </c>
      <c r="AD9" s="33" t="s">
        <v>62</v>
      </c>
      <c r="AE9" s="33"/>
      <c r="AF9" s="33"/>
      <c r="AG9" s="33"/>
      <c r="AH9" s="33" t="s">
        <v>63</v>
      </c>
      <c r="AI9" s="33" t="s">
        <v>63</v>
      </c>
      <c r="AJ9" s="34"/>
      <c r="AK9" s="35"/>
      <c r="AL9" s="36"/>
      <c r="AM9" s="31"/>
    </row>
    <row r="10" spans="1:70" s="1" customFormat="1" ht="18.75" x14ac:dyDescent="0.25">
      <c r="B10" s="151" t="s">
        <v>21</v>
      </c>
      <c r="C10" s="16" t="s">
        <v>16</v>
      </c>
      <c r="D10" s="153" t="s">
        <v>22</v>
      </c>
      <c r="E10" s="155">
        <f>+AK10+4994</f>
        <v>8424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157">
        <f>SUM(F11:AJ11)</f>
        <v>3430</v>
      </c>
      <c r="AL10" s="159">
        <f>SUM(F10:AJ10)</f>
        <v>0</v>
      </c>
      <c r="AM10" s="38"/>
    </row>
    <row r="11" spans="1:70" s="1" customFormat="1" ht="18.75" x14ac:dyDescent="0.25">
      <c r="B11" s="152"/>
      <c r="C11" s="16" t="s">
        <v>23</v>
      </c>
      <c r="D11" s="154"/>
      <c r="E11" s="156"/>
      <c r="F11" s="39">
        <f>180+140</f>
        <v>320</v>
      </c>
      <c r="G11" s="40">
        <f>200+180</f>
        <v>380</v>
      </c>
      <c r="H11" s="40">
        <f>180+190</f>
        <v>370</v>
      </c>
      <c r="I11" s="40">
        <f>180+200</f>
        <v>380</v>
      </c>
      <c r="J11" s="40">
        <v>100</v>
      </c>
      <c r="K11" s="40">
        <f>170+160</f>
        <v>330</v>
      </c>
      <c r="L11" s="40">
        <f>180+180</f>
        <v>360</v>
      </c>
      <c r="M11" s="40">
        <v>50</v>
      </c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>
        <f>100+140</f>
        <v>240</v>
      </c>
      <c r="AF11" s="40">
        <f>200+180</f>
        <v>380</v>
      </c>
      <c r="AG11" s="40">
        <v>160</v>
      </c>
      <c r="AH11" s="40">
        <v>180</v>
      </c>
      <c r="AI11" s="40">
        <f>180</f>
        <v>180</v>
      </c>
      <c r="AJ11" s="40"/>
      <c r="AK11" s="158"/>
      <c r="AL11" s="160"/>
      <c r="AM11" s="31"/>
    </row>
    <row r="12" spans="1:70" s="1" customFormat="1" ht="18.75" x14ac:dyDescent="0.25">
      <c r="B12" s="41" t="s">
        <v>17</v>
      </c>
      <c r="C12" s="42" t="s">
        <v>24</v>
      </c>
      <c r="D12" s="29" t="s">
        <v>22</v>
      </c>
      <c r="E12" s="43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5"/>
      <c r="AL12" s="46"/>
      <c r="AM12" s="38"/>
    </row>
    <row r="13" spans="1:70" ht="20.25" x14ac:dyDescent="0.25">
      <c r="B13" s="145" t="s">
        <v>25</v>
      </c>
      <c r="C13" s="146"/>
      <c r="D13" s="146"/>
      <c r="E13" s="146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8"/>
    </row>
    <row r="14" spans="1:70" ht="18.75" x14ac:dyDescent="0.25">
      <c r="B14" s="149" t="s">
        <v>20</v>
      </c>
      <c r="C14" s="150"/>
      <c r="D14" s="31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4"/>
      <c r="AJ14" s="34"/>
      <c r="AK14" s="35"/>
      <c r="AL14" s="36"/>
      <c r="AM14" s="31"/>
    </row>
    <row r="15" spans="1:70" ht="18.75" x14ac:dyDescent="0.25">
      <c r="B15" s="151" t="s">
        <v>21</v>
      </c>
      <c r="C15" s="16" t="s">
        <v>16</v>
      </c>
      <c r="D15" s="153" t="s">
        <v>22</v>
      </c>
      <c r="E15" s="155">
        <f>AK15</f>
        <v>0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157">
        <f>SUM(F16:AJ16)</f>
        <v>0</v>
      </c>
      <c r="AL15" s="159">
        <f>SUM(F15:AJ15)</f>
        <v>0</v>
      </c>
      <c r="AM15" s="38"/>
    </row>
    <row r="16" spans="1:70" ht="18.75" x14ac:dyDescent="0.25">
      <c r="B16" s="152"/>
      <c r="C16" s="16" t="s">
        <v>23</v>
      </c>
      <c r="D16" s="154"/>
      <c r="E16" s="156"/>
      <c r="F16" s="39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158"/>
      <c r="AL16" s="160"/>
      <c r="AM16" s="31"/>
    </row>
    <row r="17" spans="2:39" ht="18.75" x14ac:dyDescent="0.25">
      <c r="B17" s="41" t="s">
        <v>17</v>
      </c>
      <c r="C17" s="42" t="s">
        <v>24</v>
      </c>
      <c r="D17" s="29" t="s">
        <v>22</v>
      </c>
      <c r="E17" s="43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5"/>
      <c r="AL17" s="46"/>
      <c r="AM17" s="38"/>
    </row>
    <row r="18" spans="2:39" s="1" customFormat="1" ht="20.25" x14ac:dyDescent="0.25">
      <c r="B18" s="145" t="s">
        <v>26</v>
      </c>
      <c r="C18" s="146"/>
      <c r="D18" s="146"/>
      <c r="E18" s="146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8"/>
    </row>
    <row r="19" spans="2:39" s="1" customFormat="1" ht="18.75" x14ac:dyDescent="0.25">
      <c r="B19" s="149" t="s">
        <v>20</v>
      </c>
      <c r="C19" s="150"/>
      <c r="D19" s="31"/>
      <c r="E19" s="32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4"/>
      <c r="AJ19" s="34"/>
      <c r="AK19" s="35"/>
      <c r="AL19" s="36"/>
      <c r="AM19" s="31"/>
    </row>
    <row r="20" spans="2:39" s="1" customFormat="1" ht="18.75" x14ac:dyDescent="0.25">
      <c r="B20" s="151" t="s">
        <v>21</v>
      </c>
      <c r="C20" s="16" t="s">
        <v>16</v>
      </c>
      <c r="D20" s="153" t="s">
        <v>22</v>
      </c>
      <c r="E20" s="155">
        <f>AK20+1812</f>
        <v>1812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157">
        <f>SUM(F21:AJ21)</f>
        <v>0</v>
      </c>
      <c r="AL20" s="159">
        <f>SUM(F20:AJ20)</f>
        <v>0</v>
      </c>
      <c r="AM20" s="38"/>
    </row>
    <row r="21" spans="2:39" s="1" customFormat="1" ht="18.75" x14ac:dyDescent="0.25">
      <c r="B21" s="152"/>
      <c r="C21" s="16" t="s">
        <v>23</v>
      </c>
      <c r="D21" s="154"/>
      <c r="E21" s="156"/>
      <c r="F21" s="39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158"/>
      <c r="AL21" s="160"/>
      <c r="AM21" s="31"/>
    </row>
    <row r="22" spans="2:39" s="1" customFormat="1" ht="18.75" x14ac:dyDescent="0.25">
      <c r="B22" s="41" t="s">
        <v>17</v>
      </c>
      <c r="C22" s="42" t="s">
        <v>24</v>
      </c>
      <c r="D22" s="29" t="s">
        <v>22</v>
      </c>
      <c r="E22" s="43"/>
      <c r="F22" s="34">
        <f t="shared" ref="F22:AI22" si="0">SUM(F19:F21)</f>
        <v>0</v>
      </c>
      <c r="G22" s="34">
        <f t="shared" si="0"/>
        <v>0</v>
      </c>
      <c r="H22" s="34">
        <f t="shared" si="0"/>
        <v>0</v>
      </c>
      <c r="I22" s="34">
        <f t="shared" si="0"/>
        <v>0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47">
        <f t="shared" si="0"/>
        <v>0</v>
      </c>
      <c r="N22" s="34">
        <f t="shared" si="0"/>
        <v>0</v>
      </c>
      <c r="O22" s="34">
        <f t="shared" si="0"/>
        <v>0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>
        <f t="shared" si="0"/>
        <v>0</v>
      </c>
      <c r="U22" s="34">
        <f t="shared" si="0"/>
        <v>0</v>
      </c>
      <c r="V22" s="34">
        <f t="shared" si="0"/>
        <v>0</v>
      </c>
      <c r="W22" s="34">
        <f t="shared" si="0"/>
        <v>0</v>
      </c>
      <c r="X22" s="34">
        <f t="shared" si="0"/>
        <v>0</v>
      </c>
      <c r="Y22" s="34">
        <f t="shared" si="0"/>
        <v>0</v>
      </c>
      <c r="Z22" s="34">
        <f t="shared" si="0"/>
        <v>0</v>
      </c>
      <c r="AA22" s="34">
        <f t="shared" si="0"/>
        <v>0</v>
      </c>
      <c r="AB22" s="34">
        <f t="shared" si="0"/>
        <v>0</v>
      </c>
      <c r="AC22" s="34">
        <f t="shared" si="0"/>
        <v>0</v>
      </c>
      <c r="AD22" s="34">
        <f t="shared" si="0"/>
        <v>0</v>
      </c>
      <c r="AE22" s="34">
        <f t="shared" si="0"/>
        <v>0</v>
      </c>
      <c r="AF22" s="34">
        <f t="shared" si="0"/>
        <v>0</v>
      </c>
      <c r="AG22" s="34">
        <f t="shared" si="0"/>
        <v>0</v>
      </c>
      <c r="AH22" s="34">
        <f t="shared" si="0"/>
        <v>0</v>
      </c>
      <c r="AI22" s="34">
        <f t="shared" si="0"/>
        <v>0</v>
      </c>
      <c r="AJ22" s="34">
        <f>SUM(AJ19:AJ21)</f>
        <v>0</v>
      </c>
      <c r="AK22" s="45"/>
      <c r="AL22" s="46"/>
      <c r="AM22" s="38"/>
    </row>
    <row r="23" spans="2:39" s="1" customFormat="1" ht="20.25" x14ac:dyDescent="0.25">
      <c r="B23" s="145" t="s">
        <v>27</v>
      </c>
      <c r="C23" s="146"/>
      <c r="D23" s="146"/>
      <c r="E23" s="146" t="s">
        <v>28</v>
      </c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8"/>
    </row>
    <row r="24" spans="2:39" s="1" customFormat="1" ht="82.5" customHeight="1" x14ac:dyDescent="0.25">
      <c r="B24" s="149" t="s">
        <v>20</v>
      </c>
      <c r="C24" s="150"/>
      <c r="D24" s="31"/>
      <c r="E24" s="4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 t="s">
        <v>64</v>
      </c>
      <c r="AF24" s="33" t="s">
        <v>64</v>
      </c>
      <c r="AG24" s="33" t="s">
        <v>64</v>
      </c>
      <c r="AH24" s="33" t="s">
        <v>64</v>
      </c>
      <c r="AI24" s="34"/>
      <c r="AJ24" s="34"/>
      <c r="AK24" s="35"/>
      <c r="AL24" s="36"/>
      <c r="AM24" s="31"/>
    </row>
    <row r="25" spans="2:39" s="1" customFormat="1" ht="18.75" x14ac:dyDescent="0.25">
      <c r="B25" s="30"/>
      <c r="C25" s="16" t="s">
        <v>16</v>
      </c>
      <c r="D25" s="49" t="s">
        <v>22</v>
      </c>
      <c r="E25" s="43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35"/>
      <c r="AL25" s="51">
        <f>SUM(F25:AJ25)</f>
        <v>0</v>
      </c>
      <c r="AM25" s="31"/>
    </row>
    <row r="26" spans="2:39" s="1" customFormat="1" ht="18.75" x14ac:dyDescent="0.25">
      <c r="B26" s="161" t="s">
        <v>21</v>
      </c>
      <c r="C26" s="52" t="s">
        <v>29</v>
      </c>
      <c r="D26" s="164" t="s">
        <v>22</v>
      </c>
      <c r="E26" s="53">
        <f t="shared" ref="E26:E49" si="1">AK26</f>
        <v>0</v>
      </c>
      <c r="F26" s="55"/>
      <c r="G26" s="55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16"/>
      <c r="W26" s="16"/>
      <c r="X26" s="55"/>
      <c r="Y26" s="55"/>
      <c r="Z26" s="55"/>
      <c r="AA26" s="55"/>
      <c r="AB26" s="55"/>
      <c r="AC26" s="55"/>
      <c r="AD26" s="55"/>
      <c r="AE26" s="55"/>
      <c r="AF26" s="33"/>
      <c r="AG26" s="33"/>
      <c r="AH26" s="33"/>
      <c r="AI26" s="34"/>
      <c r="AJ26" s="34"/>
      <c r="AK26" s="54">
        <f t="shared" ref="AK26:AK34" si="2">SUM(F26:AJ26)</f>
        <v>0</v>
      </c>
      <c r="AL26" s="36"/>
      <c r="AM26" s="31"/>
    </row>
    <row r="27" spans="2:39" s="1" customFormat="1" ht="18.75" x14ac:dyDescent="0.25">
      <c r="B27" s="162"/>
      <c r="C27" s="52" t="s">
        <v>30</v>
      </c>
      <c r="D27" s="165"/>
      <c r="E27" s="53">
        <f t="shared" si="1"/>
        <v>0</v>
      </c>
      <c r="F27" s="55"/>
      <c r="G27" s="55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16"/>
      <c r="W27" s="16"/>
      <c r="X27" s="55"/>
      <c r="Y27" s="55"/>
      <c r="Z27" s="55"/>
      <c r="AA27" s="55"/>
      <c r="AB27" s="55"/>
      <c r="AC27" s="55"/>
      <c r="AD27" s="55"/>
      <c r="AE27" s="55"/>
      <c r="AF27" s="33"/>
      <c r="AG27" s="33"/>
      <c r="AH27" s="33"/>
      <c r="AI27" s="34"/>
      <c r="AJ27" s="34"/>
      <c r="AK27" s="54">
        <f t="shared" si="2"/>
        <v>0</v>
      </c>
      <c r="AL27" s="36"/>
      <c r="AM27" s="31"/>
    </row>
    <row r="28" spans="2:39" s="1" customFormat="1" ht="18.75" x14ac:dyDescent="0.25">
      <c r="B28" s="162"/>
      <c r="C28" s="52" t="s">
        <v>31</v>
      </c>
      <c r="D28" s="165"/>
      <c r="E28" s="53">
        <f t="shared" si="1"/>
        <v>0</v>
      </c>
      <c r="F28" s="55"/>
      <c r="G28" s="55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16"/>
      <c r="W28" s="16"/>
      <c r="X28" s="55"/>
      <c r="Y28" s="55"/>
      <c r="Z28" s="55"/>
      <c r="AA28" s="55"/>
      <c r="AB28" s="55"/>
      <c r="AC28" s="55"/>
      <c r="AD28" s="55"/>
      <c r="AE28" s="55"/>
      <c r="AF28" s="33"/>
      <c r="AG28" s="33"/>
      <c r="AH28" s="33"/>
      <c r="AI28" s="34"/>
      <c r="AJ28" s="34"/>
      <c r="AK28" s="54">
        <f t="shared" si="2"/>
        <v>0</v>
      </c>
      <c r="AL28" s="36"/>
      <c r="AM28" s="31"/>
    </row>
    <row r="29" spans="2:39" s="1" customFormat="1" ht="18.75" x14ac:dyDescent="0.25">
      <c r="B29" s="162"/>
      <c r="C29" s="52" t="s">
        <v>32</v>
      </c>
      <c r="D29" s="165"/>
      <c r="E29" s="53">
        <f t="shared" si="1"/>
        <v>0</v>
      </c>
      <c r="F29" s="55"/>
      <c r="G29" s="55"/>
      <c r="H29" s="55"/>
      <c r="I29" s="55"/>
      <c r="J29" s="55"/>
      <c r="K29" s="33"/>
      <c r="L29" s="55"/>
      <c r="M29" s="55"/>
      <c r="N29" s="55"/>
      <c r="O29" s="55"/>
      <c r="P29" s="55"/>
      <c r="Q29" s="55"/>
      <c r="R29" s="55"/>
      <c r="S29" s="55"/>
      <c r="T29" s="55"/>
      <c r="U29" s="33"/>
      <c r="V29" s="16"/>
      <c r="W29" s="16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33"/>
      <c r="AI29" s="34"/>
      <c r="AJ29" s="34"/>
      <c r="AK29" s="54">
        <f t="shared" si="2"/>
        <v>0</v>
      </c>
      <c r="AL29" s="36"/>
      <c r="AM29" s="31"/>
    </row>
    <row r="30" spans="2:39" s="1" customFormat="1" ht="18.75" hidden="1" x14ac:dyDescent="0.25">
      <c r="B30" s="162"/>
      <c r="C30" s="52" t="s">
        <v>33</v>
      </c>
      <c r="D30" s="165"/>
      <c r="E30" s="53">
        <f t="shared" si="1"/>
        <v>0</v>
      </c>
      <c r="F30" s="55"/>
      <c r="G30" s="55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16"/>
      <c r="W30" s="16"/>
      <c r="X30" s="55"/>
      <c r="Y30" s="55"/>
      <c r="Z30" s="55"/>
      <c r="AA30" s="55"/>
      <c r="AB30" s="55"/>
      <c r="AC30" s="55"/>
      <c r="AD30" s="55"/>
      <c r="AE30" s="55"/>
      <c r="AF30" s="33"/>
      <c r="AG30" s="33"/>
      <c r="AH30" s="33"/>
      <c r="AI30" s="34"/>
      <c r="AJ30" s="34"/>
      <c r="AK30" s="54">
        <f t="shared" si="2"/>
        <v>0</v>
      </c>
      <c r="AL30" s="36"/>
      <c r="AM30" s="31"/>
    </row>
    <row r="31" spans="2:39" s="1" customFormat="1" ht="18.75" hidden="1" x14ac:dyDescent="0.25">
      <c r="B31" s="162"/>
      <c r="C31" s="52" t="s">
        <v>34</v>
      </c>
      <c r="D31" s="165"/>
      <c r="E31" s="53">
        <f t="shared" si="1"/>
        <v>0</v>
      </c>
      <c r="F31" s="33"/>
      <c r="G31" s="55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40"/>
      <c r="W31" s="40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4"/>
      <c r="AJ31" s="34"/>
      <c r="AK31" s="54">
        <f t="shared" si="2"/>
        <v>0</v>
      </c>
      <c r="AL31" s="36"/>
      <c r="AM31" s="31"/>
    </row>
    <row r="32" spans="2:39" s="1" customFormat="1" ht="18.75" hidden="1" x14ac:dyDescent="0.25">
      <c r="B32" s="162"/>
      <c r="C32" s="52" t="s">
        <v>35</v>
      </c>
      <c r="D32" s="165"/>
      <c r="E32" s="53">
        <f t="shared" si="1"/>
        <v>0</v>
      </c>
      <c r="F32" s="33"/>
      <c r="G32" s="55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40"/>
      <c r="W32" s="40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4"/>
      <c r="AJ32" s="34"/>
      <c r="AK32" s="54">
        <f t="shared" si="2"/>
        <v>0</v>
      </c>
      <c r="AL32" s="36"/>
      <c r="AM32" s="31"/>
    </row>
    <row r="33" spans="1:40" s="1" customFormat="1" ht="18.75" hidden="1" x14ac:dyDescent="0.25">
      <c r="B33" s="162"/>
      <c r="C33" s="52" t="s">
        <v>36</v>
      </c>
      <c r="D33" s="165"/>
      <c r="E33" s="53">
        <f t="shared" si="1"/>
        <v>0</v>
      </c>
      <c r="F33" s="33"/>
      <c r="G33" s="55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40"/>
      <c r="W33" s="40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4"/>
      <c r="AJ33" s="34"/>
      <c r="AK33" s="54">
        <f t="shared" si="2"/>
        <v>0</v>
      </c>
      <c r="AL33" s="36"/>
      <c r="AM33" s="31"/>
    </row>
    <row r="34" spans="1:40" s="1" customFormat="1" ht="18.75" x14ac:dyDescent="0.25">
      <c r="B34" s="163"/>
      <c r="C34" s="52" t="s">
        <v>37</v>
      </c>
      <c r="D34" s="166"/>
      <c r="E34" s="53">
        <f t="shared" si="1"/>
        <v>0</v>
      </c>
      <c r="F34" s="33"/>
      <c r="G34" s="55"/>
      <c r="H34" s="55"/>
      <c r="I34" s="55"/>
      <c r="J34" s="55"/>
      <c r="K34" s="55"/>
      <c r="L34" s="55"/>
      <c r="M34" s="33"/>
      <c r="N34" s="33"/>
      <c r="O34" s="33"/>
      <c r="P34" s="55"/>
      <c r="Q34" s="55"/>
      <c r="R34" s="55"/>
      <c r="S34" s="55"/>
      <c r="T34" s="33"/>
      <c r="U34" s="55"/>
      <c r="V34" s="40"/>
      <c r="W34" s="40"/>
      <c r="X34" s="33"/>
      <c r="Y34" s="33"/>
      <c r="Z34" s="33"/>
      <c r="AA34" s="33"/>
      <c r="AB34" s="33"/>
      <c r="AC34" s="33"/>
      <c r="AD34" s="33"/>
      <c r="AE34" s="33"/>
      <c r="AF34" s="33"/>
      <c r="AG34" s="55"/>
      <c r="AH34" s="55"/>
      <c r="AI34" s="56"/>
      <c r="AJ34" s="56"/>
      <c r="AK34" s="54">
        <f t="shared" si="2"/>
        <v>0</v>
      </c>
      <c r="AL34" s="36"/>
      <c r="AM34" s="31"/>
    </row>
    <row r="35" spans="1:40" s="1" customFormat="1" ht="18.75" x14ac:dyDescent="0.25">
      <c r="B35" s="16" t="s">
        <v>17</v>
      </c>
      <c r="C35" s="52" t="s">
        <v>38</v>
      </c>
      <c r="D35" s="31" t="s">
        <v>22</v>
      </c>
      <c r="E35" s="53">
        <f t="shared" si="1"/>
        <v>0</v>
      </c>
      <c r="F35" s="33">
        <f t="shared" ref="F35:AI49" si="3">SUM(F26:F34)</f>
        <v>0</v>
      </c>
      <c r="G35" s="33">
        <f t="shared" si="3"/>
        <v>0</v>
      </c>
      <c r="H35" s="33">
        <f t="shared" si="3"/>
        <v>0</v>
      </c>
      <c r="I35" s="33">
        <f t="shared" si="3"/>
        <v>0</v>
      </c>
      <c r="J35" s="33">
        <f t="shared" si="3"/>
        <v>0</v>
      </c>
      <c r="K35" s="33">
        <f t="shared" si="3"/>
        <v>0</v>
      </c>
      <c r="L35" s="33">
        <f t="shared" si="3"/>
        <v>0</v>
      </c>
      <c r="M35" s="33">
        <f t="shared" si="3"/>
        <v>0</v>
      </c>
      <c r="N35" s="33">
        <f t="shared" si="3"/>
        <v>0</v>
      </c>
      <c r="O35" s="33">
        <f t="shared" si="3"/>
        <v>0</v>
      </c>
      <c r="P35" s="33">
        <f t="shared" si="3"/>
        <v>0</v>
      </c>
      <c r="Q35" s="33">
        <f t="shared" si="3"/>
        <v>0</v>
      </c>
      <c r="R35" s="33">
        <f t="shared" si="3"/>
        <v>0</v>
      </c>
      <c r="S35" s="33">
        <f t="shared" si="3"/>
        <v>0</v>
      </c>
      <c r="T35" s="33">
        <f t="shared" si="3"/>
        <v>0</v>
      </c>
      <c r="U35" s="33">
        <f t="shared" si="3"/>
        <v>0</v>
      </c>
      <c r="V35" s="40">
        <f>SUM(V26:V34)</f>
        <v>0</v>
      </c>
      <c r="W35" s="40">
        <f t="shared" si="3"/>
        <v>0</v>
      </c>
      <c r="X35" s="33">
        <f t="shared" si="3"/>
        <v>0</v>
      </c>
      <c r="Y35" s="33">
        <f t="shared" si="3"/>
        <v>0</v>
      </c>
      <c r="Z35" s="33">
        <f t="shared" si="3"/>
        <v>0</v>
      </c>
      <c r="AA35" s="33">
        <f t="shared" si="3"/>
        <v>0</v>
      </c>
      <c r="AB35" s="33">
        <f t="shared" si="3"/>
        <v>0</v>
      </c>
      <c r="AC35" s="33">
        <f t="shared" si="3"/>
        <v>0</v>
      </c>
      <c r="AD35" s="33">
        <f t="shared" si="3"/>
        <v>0</v>
      </c>
      <c r="AE35" s="33">
        <f t="shared" si="3"/>
        <v>0</v>
      </c>
      <c r="AF35" s="33">
        <f t="shared" si="3"/>
        <v>0</v>
      </c>
      <c r="AG35" s="33">
        <f t="shared" si="3"/>
        <v>0</v>
      </c>
      <c r="AH35" s="33">
        <f t="shared" si="3"/>
        <v>0</v>
      </c>
      <c r="AI35" s="34">
        <f t="shared" si="3"/>
        <v>0</v>
      </c>
      <c r="AJ35" s="34">
        <f>SUM(AJ26:AJ34)</f>
        <v>0</v>
      </c>
      <c r="AK35" s="54">
        <f>SUM(AK26:AK34)</f>
        <v>0</v>
      </c>
      <c r="AL35" s="36"/>
      <c r="AM35" s="31"/>
    </row>
    <row r="36" spans="1:40" s="13" customFormat="1" ht="20.25" x14ac:dyDescent="0.25">
      <c r="A36" s="30"/>
      <c r="B36" s="142" t="s">
        <v>39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4"/>
      <c r="AN36" s="21"/>
    </row>
    <row r="37" spans="1:40" s="1" customFormat="1" ht="20.25" x14ac:dyDescent="0.25">
      <c r="B37" s="145" t="s">
        <v>27</v>
      </c>
      <c r="C37" s="146"/>
      <c r="D37" s="146"/>
      <c r="E37" s="146" t="s">
        <v>28</v>
      </c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8"/>
    </row>
    <row r="38" spans="1:40" s="1" customFormat="1" ht="75" x14ac:dyDescent="0.25">
      <c r="B38" s="149" t="s">
        <v>20</v>
      </c>
      <c r="C38" s="150"/>
      <c r="D38" s="31"/>
      <c r="E38" s="43"/>
      <c r="F38" s="33" t="s">
        <v>65</v>
      </c>
      <c r="G38" s="33" t="s">
        <v>65</v>
      </c>
      <c r="H38" s="33" t="s">
        <v>65</v>
      </c>
      <c r="I38" s="33" t="s">
        <v>65</v>
      </c>
      <c r="J38" s="33" t="s">
        <v>65</v>
      </c>
      <c r="K38" s="33" t="s">
        <v>65</v>
      </c>
      <c r="L38" s="33"/>
      <c r="M38" s="33"/>
      <c r="N38" s="33"/>
      <c r="O38" s="33"/>
      <c r="P38" s="33"/>
      <c r="Q38" s="33"/>
      <c r="R38" s="33"/>
      <c r="S38" s="33" t="s">
        <v>66</v>
      </c>
      <c r="T38" s="33" t="s">
        <v>66</v>
      </c>
      <c r="U38" s="33" t="s">
        <v>57</v>
      </c>
      <c r="V38" s="33"/>
      <c r="W38" s="33"/>
      <c r="X38" s="33"/>
      <c r="Y38" s="33" t="s">
        <v>65</v>
      </c>
      <c r="Z38" s="33" t="s">
        <v>65</v>
      </c>
      <c r="AA38" s="33" t="s">
        <v>65</v>
      </c>
      <c r="AB38" s="33"/>
      <c r="AC38" s="33"/>
      <c r="AD38" s="33"/>
      <c r="AE38" s="33" t="s">
        <v>57</v>
      </c>
      <c r="AF38" s="33"/>
      <c r="AG38" s="33"/>
      <c r="AH38" s="33"/>
      <c r="AI38" s="33"/>
      <c r="AJ38" s="34"/>
      <c r="AK38" s="35"/>
      <c r="AL38" s="36"/>
      <c r="AM38" s="31"/>
    </row>
    <row r="39" spans="1:40" s="1" customFormat="1" ht="18.75" x14ac:dyDescent="0.25">
      <c r="B39" s="30"/>
      <c r="C39" s="16" t="s">
        <v>16</v>
      </c>
      <c r="D39" s="49" t="s">
        <v>22</v>
      </c>
      <c r="E39" s="43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35"/>
      <c r="AL39" s="51">
        <f>SUM(F39:AJ39)</f>
        <v>0</v>
      </c>
      <c r="AM39" s="31"/>
    </row>
    <row r="40" spans="1:40" s="1" customFormat="1" ht="18.75" x14ac:dyDescent="0.25">
      <c r="B40" s="161" t="s">
        <v>21</v>
      </c>
      <c r="C40" s="52" t="s">
        <v>29</v>
      </c>
      <c r="D40" s="164" t="s">
        <v>22</v>
      </c>
      <c r="E40" s="53">
        <f t="shared" si="1"/>
        <v>332</v>
      </c>
      <c r="F40" s="55"/>
      <c r="G40" s="55"/>
      <c r="H40" s="33"/>
      <c r="I40" s="33"/>
      <c r="J40" s="33"/>
      <c r="K40" s="33"/>
      <c r="L40" s="33">
        <v>60</v>
      </c>
      <c r="M40" s="33">
        <v>40</v>
      </c>
      <c r="N40" s="33">
        <v>30</v>
      </c>
      <c r="O40" s="33">
        <v>20</v>
      </c>
      <c r="P40" s="33">
        <f>40+40</f>
        <v>80</v>
      </c>
      <c r="Q40" s="33">
        <v>70</v>
      </c>
      <c r="R40" s="33">
        <v>32</v>
      </c>
      <c r="S40" s="33"/>
      <c r="T40" s="33"/>
      <c r="U40" s="33"/>
      <c r="V40" s="16"/>
      <c r="W40" s="16"/>
      <c r="X40" s="55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4"/>
      <c r="AJ40" s="34"/>
      <c r="AK40" s="54">
        <f t="shared" ref="AK40:AK48" si="4">SUM(F40:AJ40)</f>
        <v>332</v>
      </c>
      <c r="AL40" s="36"/>
      <c r="AM40" s="31"/>
    </row>
    <row r="41" spans="1:40" s="1" customFormat="1" ht="18.75" x14ac:dyDescent="0.25">
      <c r="B41" s="162"/>
      <c r="C41" s="52" t="s">
        <v>30</v>
      </c>
      <c r="D41" s="165"/>
      <c r="E41" s="53">
        <f t="shared" si="1"/>
        <v>0</v>
      </c>
      <c r="F41" s="55"/>
      <c r="G41" s="55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16"/>
      <c r="W41" s="16"/>
      <c r="X41" s="55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4"/>
      <c r="AJ41" s="34"/>
      <c r="AK41" s="54">
        <f t="shared" si="4"/>
        <v>0</v>
      </c>
      <c r="AL41" s="36"/>
      <c r="AM41" s="31"/>
    </row>
    <row r="42" spans="1:40" s="1" customFormat="1" ht="18.75" x14ac:dyDescent="0.25">
      <c r="B42" s="162"/>
      <c r="C42" s="52" t="s">
        <v>31</v>
      </c>
      <c r="D42" s="165"/>
      <c r="E42" s="53">
        <f t="shared" si="1"/>
        <v>441</v>
      </c>
      <c r="F42" s="55"/>
      <c r="G42" s="55"/>
      <c r="H42" s="33"/>
      <c r="I42" s="33"/>
      <c r="J42" s="33"/>
      <c r="K42" s="33"/>
      <c r="L42" s="33">
        <v>56</v>
      </c>
      <c r="M42" s="33">
        <v>40</v>
      </c>
      <c r="N42" s="33">
        <v>50</v>
      </c>
      <c r="O42" s="33">
        <v>25</v>
      </c>
      <c r="P42" s="33">
        <f>60+60</f>
        <v>120</v>
      </c>
      <c r="Q42" s="33">
        <v>100</v>
      </c>
      <c r="R42" s="33">
        <v>50</v>
      </c>
      <c r="S42" s="33"/>
      <c r="T42" s="33"/>
      <c r="U42" s="33"/>
      <c r="V42" s="16"/>
      <c r="W42" s="16"/>
      <c r="X42" s="55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4"/>
      <c r="AJ42" s="34"/>
      <c r="AK42" s="54">
        <f t="shared" si="4"/>
        <v>441</v>
      </c>
      <c r="AL42" s="36"/>
      <c r="AM42" s="31"/>
    </row>
    <row r="43" spans="1:40" s="1" customFormat="1" ht="18.75" x14ac:dyDescent="0.25">
      <c r="B43" s="162"/>
      <c r="C43" s="52" t="s">
        <v>32</v>
      </c>
      <c r="D43" s="165"/>
      <c r="E43" s="53">
        <f t="shared" si="1"/>
        <v>0</v>
      </c>
      <c r="F43" s="55"/>
      <c r="G43" s="55"/>
      <c r="H43" s="55"/>
      <c r="I43" s="55"/>
      <c r="J43" s="55"/>
      <c r="K43" s="33"/>
      <c r="L43" s="55"/>
      <c r="M43" s="55"/>
      <c r="N43" s="55"/>
      <c r="O43" s="55"/>
      <c r="P43" s="55"/>
      <c r="Q43" s="55"/>
      <c r="R43" s="55"/>
      <c r="S43" s="55"/>
      <c r="T43" s="55"/>
      <c r="U43" s="33"/>
      <c r="V43" s="16"/>
      <c r="W43" s="16"/>
      <c r="X43" s="55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4"/>
      <c r="AJ43" s="34"/>
      <c r="AK43" s="54">
        <f t="shared" si="4"/>
        <v>0</v>
      </c>
      <c r="AL43" s="36"/>
      <c r="AM43" s="31"/>
    </row>
    <row r="44" spans="1:40" s="1" customFormat="1" ht="18.75" x14ac:dyDescent="0.25">
      <c r="B44" s="162"/>
      <c r="C44" s="52" t="s">
        <v>40</v>
      </c>
      <c r="D44" s="165"/>
      <c r="E44" s="53">
        <f t="shared" si="1"/>
        <v>994</v>
      </c>
      <c r="F44" s="55"/>
      <c r="G44" s="55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>
        <v>60</v>
      </c>
      <c r="V44" s="16">
        <f>70+60</f>
        <v>130</v>
      </c>
      <c r="W44" s="16"/>
      <c r="X44" s="33">
        <v>120</v>
      </c>
      <c r="Y44" s="33"/>
      <c r="Z44" s="33"/>
      <c r="AA44" s="33"/>
      <c r="AB44" s="33">
        <v>64</v>
      </c>
      <c r="AC44" s="33">
        <f>90+60</f>
        <v>150</v>
      </c>
      <c r="AD44" s="33">
        <v>110</v>
      </c>
      <c r="AE44" s="33"/>
      <c r="AF44" s="33"/>
      <c r="AG44" s="33">
        <v>100</v>
      </c>
      <c r="AH44" s="33">
        <v>110</v>
      </c>
      <c r="AI44" s="34">
        <f>80+70</f>
        <v>150</v>
      </c>
      <c r="AJ44" s="34"/>
      <c r="AK44" s="54">
        <f t="shared" si="4"/>
        <v>994</v>
      </c>
      <c r="AL44" s="36"/>
      <c r="AM44" s="31"/>
    </row>
    <row r="45" spans="1:40" s="1" customFormat="1" ht="18.75" hidden="1" x14ac:dyDescent="0.25">
      <c r="B45" s="162"/>
      <c r="C45" s="52" t="s">
        <v>34</v>
      </c>
      <c r="D45" s="165"/>
      <c r="E45" s="53">
        <f t="shared" si="1"/>
        <v>0</v>
      </c>
      <c r="F45" s="33"/>
      <c r="G45" s="55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40"/>
      <c r="W45" s="40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4"/>
      <c r="AJ45" s="34"/>
      <c r="AK45" s="54">
        <f t="shared" si="4"/>
        <v>0</v>
      </c>
      <c r="AL45" s="36"/>
      <c r="AM45" s="31"/>
    </row>
    <row r="46" spans="1:40" s="1" customFormat="1" ht="18.75" hidden="1" x14ac:dyDescent="0.25">
      <c r="B46" s="162"/>
      <c r="C46" s="52" t="s">
        <v>35</v>
      </c>
      <c r="D46" s="165"/>
      <c r="E46" s="53">
        <f t="shared" si="1"/>
        <v>0</v>
      </c>
      <c r="F46" s="33"/>
      <c r="G46" s="55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40"/>
      <c r="W46" s="40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4"/>
      <c r="AJ46" s="34"/>
      <c r="AK46" s="54">
        <f t="shared" si="4"/>
        <v>0</v>
      </c>
      <c r="AL46" s="36"/>
      <c r="AM46" s="31"/>
    </row>
    <row r="47" spans="1:40" s="1" customFormat="1" ht="18.75" hidden="1" x14ac:dyDescent="0.25">
      <c r="B47" s="162"/>
      <c r="C47" s="52" t="s">
        <v>36</v>
      </c>
      <c r="D47" s="165"/>
      <c r="E47" s="53">
        <f t="shared" si="1"/>
        <v>0</v>
      </c>
      <c r="F47" s="33"/>
      <c r="G47" s="55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40"/>
      <c r="W47" s="40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4"/>
      <c r="AJ47" s="34"/>
      <c r="AK47" s="54">
        <f t="shared" si="4"/>
        <v>0</v>
      </c>
      <c r="AL47" s="36"/>
      <c r="AM47" s="31"/>
    </row>
    <row r="48" spans="1:40" s="1" customFormat="1" ht="18.75" x14ac:dyDescent="0.25">
      <c r="B48" s="163"/>
      <c r="C48" s="52" t="s">
        <v>37</v>
      </c>
      <c r="D48" s="166"/>
      <c r="E48" s="53">
        <f t="shared" si="1"/>
        <v>1230</v>
      </c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>
        <v>80</v>
      </c>
      <c r="V48" s="16">
        <f>90+80</f>
        <v>170</v>
      </c>
      <c r="W48" s="16"/>
      <c r="X48" s="33">
        <v>80</v>
      </c>
      <c r="Y48" s="33"/>
      <c r="Z48" s="33"/>
      <c r="AA48" s="33"/>
      <c r="AB48" s="33">
        <v>80</v>
      </c>
      <c r="AC48" s="33">
        <f>110+90</f>
        <v>200</v>
      </c>
      <c r="AD48" s="33">
        <v>160</v>
      </c>
      <c r="AE48" s="33"/>
      <c r="AF48" s="33"/>
      <c r="AG48" s="33">
        <v>100</v>
      </c>
      <c r="AH48" s="33">
        <v>170</v>
      </c>
      <c r="AI48" s="34">
        <f>100+90</f>
        <v>190</v>
      </c>
      <c r="AJ48" s="34"/>
      <c r="AK48" s="54">
        <f t="shared" si="4"/>
        <v>1230</v>
      </c>
      <c r="AL48" s="36"/>
      <c r="AM48" s="31"/>
    </row>
    <row r="49" spans="2:39" s="1" customFormat="1" ht="18.75" x14ac:dyDescent="0.25">
      <c r="B49" s="16" t="s">
        <v>17</v>
      </c>
      <c r="C49" s="52" t="s">
        <v>38</v>
      </c>
      <c r="D49" s="31" t="s">
        <v>22</v>
      </c>
      <c r="E49" s="53">
        <f t="shared" si="1"/>
        <v>2997</v>
      </c>
      <c r="F49" s="55">
        <f t="shared" si="3"/>
        <v>0</v>
      </c>
      <c r="G49" s="55">
        <f t="shared" si="3"/>
        <v>0</v>
      </c>
      <c r="H49" s="55">
        <f t="shared" si="3"/>
        <v>0</v>
      </c>
      <c r="I49" s="55">
        <f t="shared" si="3"/>
        <v>0</v>
      </c>
      <c r="J49" s="55">
        <f t="shared" si="3"/>
        <v>0</v>
      </c>
      <c r="K49" s="55">
        <f t="shared" si="3"/>
        <v>0</v>
      </c>
      <c r="L49" s="55">
        <f t="shared" si="3"/>
        <v>116</v>
      </c>
      <c r="M49" s="55">
        <f t="shared" si="3"/>
        <v>80</v>
      </c>
      <c r="N49" s="55">
        <f t="shared" si="3"/>
        <v>80</v>
      </c>
      <c r="O49" s="55">
        <f t="shared" si="3"/>
        <v>45</v>
      </c>
      <c r="P49" s="55">
        <f t="shared" si="3"/>
        <v>200</v>
      </c>
      <c r="Q49" s="55">
        <f t="shared" si="3"/>
        <v>170</v>
      </c>
      <c r="R49" s="55">
        <f t="shared" si="3"/>
        <v>82</v>
      </c>
      <c r="S49" s="55">
        <f t="shared" si="3"/>
        <v>0</v>
      </c>
      <c r="T49" s="55">
        <f t="shared" si="3"/>
        <v>0</v>
      </c>
      <c r="U49" s="55">
        <f t="shared" si="3"/>
        <v>140</v>
      </c>
      <c r="V49" s="40">
        <f>SUM(V40:V48)</f>
        <v>300</v>
      </c>
      <c r="W49" s="40">
        <f t="shared" ref="W49:AI49" si="5">SUM(W40:W48)</f>
        <v>0</v>
      </c>
      <c r="X49" s="55">
        <f t="shared" si="5"/>
        <v>200</v>
      </c>
      <c r="Y49" s="55">
        <f t="shared" si="5"/>
        <v>0</v>
      </c>
      <c r="Z49" s="55">
        <f t="shared" si="5"/>
        <v>0</v>
      </c>
      <c r="AA49" s="55">
        <f t="shared" si="5"/>
        <v>0</v>
      </c>
      <c r="AB49" s="55">
        <f t="shared" si="5"/>
        <v>144</v>
      </c>
      <c r="AC49" s="55">
        <f t="shared" si="5"/>
        <v>350</v>
      </c>
      <c r="AD49" s="55">
        <f t="shared" si="5"/>
        <v>270</v>
      </c>
      <c r="AE49" s="55">
        <f t="shared" si="5"/>
        <v>0</v>
      </c>
      <c r="AF49" s="55">
        <f t="shared" si="5"/>
        <v>0</v>
      </c>
      <c r="AG49" s="55">
        <f t="shared" si="5"/>
        <v>200</v>
      </c>
      <c r="AH49" s="55">
        <f t="shared" si="5"/>
        <v>280</v>
      </c>
      <c r="AI49" s="56">
        <f t="shared" si="5"/>
        <v>340</v>
      </c>
      <c r="AJ49" s="56">
        <f>SUM(AJ40:AJ48)</f>
        <v>0</v>
      </c>
      <c r="AK49" s="54">
        <f>SUM(AK40:AK48)</f>
        <v>2997</v>
      </c>
      <c r="AL49" s="36"/>
      <c r="AM49" s="31"/>
    </row>
  </sheetData>
  <mergeCells count="40">
    <mergeCell ref="B37:AM37"/>
    <mergeCell ref="B38:C38"/>
    <mergeCell ref="B40:B48"/>
    <mergeCell ref="D40:D48"/>
    <mergeCell ref="B23:AM23"/>
    <mergeCell ref="B24:C24"/>
    <mergeCell ref="B26:B34"/>
    <mergeCell ref="D26:D34"/>
    <mergeCell ref="B36:AM36"/>
    <mergeCell ref="B18:AM18"/>
    <mergeCell ref="B19:C19"/>
    <mergeCell ref="B20:B21"/>
    <mergeCell ref="D20:D21"/>
    <mergeCell ref="E20:E21"/>
    <mergeCell ref="AK20:AK21"/>
    <mergeCell ref="AL20:AL21"/>
    <mergeCell ref="B13:AM13"/>
    <mergeCell ref="B14:C14"/>
    <mergeCell ref="B15:B16"/>
    <mergeCell ref="D15:D16"/>
    <mergeCell ref="E15:E16"/>
    <mergeCell ref="AK15:AK16"/>
    <mergeCell ref="AL15:AL16"/>
    <mergeCell ref="B7:AM7"/>
    <mergeCell ref="B8:AM8"/>
    <mergeCell ref="B9:C9"/>
    <mergeCell ref="B10:B11"/>
    <mergeCell ref="D10:D11"/>
    <mergeCell ref="E10:E11"/>
    <mergeCell ref="AK10:AK11"/>
    <mergeCell ref="AL10:AL11"/>
    <mergeCell ref="O2:Z2"/>
    <mergeCell ref="AH2:AM2"/>
    <mergeCell ref="B3:AM3"/>
    <mergeCell ref="B4:D4"/>
    <mergeCell ref="E4:E6"/>
    <mergeCell ref="F4:AM4"/>
    <mergeCell ref="B5:D5"/>
    <mergeCell ref="AK5:AM5"/>
    <mergeCell ref="B6:D6"/>
  </mergeCells>
  <pageMargins left="0.70866099999999987" right="0.70866099999999987" top="0.748031" bottom="0.748031" header="0.31496099999999999" footer="0.31496099999999999"/>
  <pageSetup paperSize="9" scale="3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pageSetUpPr fitToPage="1"/>
  </sheetPr>
  <dimension ref="A2:BR45"/>
  <sheetViews>
    <sheetView view="pageBreakPreview" topLeftCell="B1" zoomScale="60" workbookViewId="0">
      <pane ySplit="6" topLeftCell="A7" activePane="bottomLeft" state="frozen"/>
      <selection activeCell="AH26" sqref="AH26"/>
      <selection pane="bottomLeft" activeCell="B1" sqref="B1"/>
    </sheetView>
  </sheetViews>
  <sheetFormatPr defaultRowHeight="15" customHeight="1" x14ac:dyDescent="0.25"/>
  <cols>
    <col min="1" max="1" width="10.5703125" style="1" hidden="1" customWidth="1"/>
    <col min="2" max="2" width="9.42578125" style="1" customWidth="1"/>
    <col min="3" max="3" width="14.140625" style="1" customWidth="1"/>
    <col min="4" max="4" width="7.140625" style="1" customWidth="1"/>
    <col min="5" max="5" width="10.85546875" style="1" customWidth="1"/>
    <col min="6" max="10" width="10.28515625" style="1" customWidth="1"/>
    <col min="11" max="11" width="11.5703125" style="1" customWidth="1"/>
    <col min="12" max="34" width="10.28515625" style="1" customWidth="1"/>
    <col min="35" max="37" width="10.5703125" style="1" customWidth="1"/>
    <col min="38" max="38" width="10.7109375" style="1" customWidth="1"/>
    <col min="39" max="39" width="11.7109375" style="1" customWidth="1"/>
    <col min="40" max="16384" width="9.140625" style="1"/>
  </cols>
  <sheetData>
    <row r="2" spans="1:70" s="2" customFormat="1" ht="30" customHeight="1" x14ac:dyDescent="0.3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4"/>
      <c r="AB2" s="4"/>
      <c r="AC2" s="4"/>
      <c r="AD2" s="4"/>
      <c r="AE2" s="4"/>
      <c r="AF2" s="4"/>
      <c r="AG2" s="4"/>
      <c r="AH2" s="172" t="s">
        <v>67</v>
      </c>
      <c r="AI2" s="172"/>
      <c r="AJ2" s="172"/>
      <c r="AK2" s="172"/>
      <c r="AL2" s="172"/>
      <c r="AM2" s="172"/>
      <c r="AN2" s="5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4"/>
      <c r="BO2" s="4"/>
      <c r="BP2" s="4"/>
      <c r="BQ2" s="4"/>
      <c r="BR2" s="4"/>
    </row>
    <row r="3" spans="1:70" s="2" customFormat="1" ht="50.25" customHeight="1" x14ac:dyDescent="0.25">
      <c r="A3" s="173" t="s">
        <v>1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</row>
    <row r="4" spans="1:70" s="2" customFormat="1" ht="30" customHeight="1" x14ac:dyDescent="0.25">
      <c r="A4" s="9"/>
      <c r="B4" s="126" t="s">
        <v>2</v>
      </c>
      <c r="C4" s="127"/>
      <c r="D4" s="128"/>
      <c r="E4" s="129" t="s">
        <v>3</v>
      </c>
      <c r="F4" s="132" t="s">
        <v>46</v>
      </c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3"/>
      <c r="AN4" s="12"/>
    </row>
    <row r="5" spans="1:70" s="13" customFormat="1" ht="15" customHeight="1" x14ac:dyDescent="0.25">
      <c r="A5" s="14"/>
      <c r="B5" s="134" t="s">
        <v>5</v>
      </c>
      <c r="C5" s="135"/>
      <c r="D5" s="136"/>
      <c r="E5" s="130"/>
      <c r="F5" s="18">
        <v>1</v>
      </c>
      <c r="G5" s="19">
        <v>2</v>
      </c>
      <c r="H5" s="19">
        <v>3</v>
      </c>
      <c r="I5" s="19">
        <v>4</v>
      </c>
      <c r="J5" s="19">
        <v>5</v>
      </c>
      <c r="K5" s="19">
        <v>6</v>
      </c>
      <c r="L5" s="19">
        <v>7</v>
      </c>
      <c r="M5" s="19">
        <v>8</v>
      </c>
      <c r="N5" s="19">
        <v>9</v>
      </c>
      <c r="O5" s="19">
        <v>10</v>
      </c>
      <c r="P5" s="19">
        <v>11</v>
      </c>
      <c r="Q5" s="19">
        <v>12</v>
      </c>
      <c r="R5" s="19">
        <v>13</v>
      </c>
      <c r="S5" s="19">
        <v>14</v>
      </c>
      <c r="T5" s="19">
        <v>15</v>
      </c>
      <c r="U5" s="19">
        <v>16</v>
      </c>
      <c r="V5" s="19">
        <v>17</v>
      </c>
      <c r="W5" s="19">
        <v>18</v>
      </c>
      <c r="X5" s="19">
        <v>19</v>
      </c>
      <c r="Y5" s="19">
        <v>20</v>
      </c>
      <c r="Z5" s="19">
        <v>21</v>
      </c>
      <c r="AA5" s="19">
        <v>22</v>
      </c>
      <c r="AB5" s="19">
        <v>23</v>
      </c>
      <c r="AC5" s="19">
        <v>24</v>
      </c>
      <c r="AD5" s="19">
        <v>25</v>
      </c>
      <c r="AE5" s="19">
        <v>26</v>
      </c>
      <c r="AF5" s="19">
        <v>27</v>
      </c>
      <c r="AG5" s="20">
        <v>28</v>
      </c>
      <c r="AH5" s="19">
        <v>29</v>
      </c>
      <c r="AI5" s="20">
        <v>30</v>
      </c>
      <c r="AJ5" s="20">
        <v>31</v>
      </c>
      <c r="AK5" s="137" t="s">
        <v>6</v>
      </c>
      <c r="AL5" s="137"/>
      <c r="AM5" s="138"/>
      <c r="AN5" s="21"/>
    </row>
    <row r="6" spans="1:70" s="13" customFormat="1" ht="18.75" x14ac:dyDescent="0.25">
      <c r="A6" s="22"/>
      <c r="B6" s="139" t="s">
        <v>7</v>
      </c>
      <c r="C6" s="140"/>
      <c r="D6" s="141"/>
      <c r="E6" s="131"/>
      <c r="F6" s="26" t="s">
        <v>12</v>
      </c>
      <c r="G6" s="26" t="s">
        <v>13</v>
      </c>
      <c r="H6" s="26" t="s">
        <v>14</v>
      </c>
      <c r="I6" s="26" t="s">
        <v>8</v>
      </c>
      <c r="J6" s="26" t="s">
        <v>9</v>
      </c>
      <c r="K6" s="26" t="s">
        <v>10</v>
      </c>
      <c r="L6" s="26" t="s">
        <v>11</v>
      </c>
      <c r="M6" s="26" t="s">
        <v>12</v>
      </c>
      <c r="N6" s="26" t="s">
        <v>13</v>
      </c>
      <c r="O6" s="26" t="s">
        <v>14</v>
      </c>
      <c r="P6" s="26" t="s">
        <v>8</v>
      </c>
      <c r="Q6" s="26" t="s">
        <v>9</v>
      </c>
      <c r="R6" s="26" t="s">
        <v>10</v>
      </c>
      <c r="S6" s="26" t="s">
        <v>11</v>
      </c>
      <c r="T6" s="26" t="s">
        <v>12</v>
      </c>
      <c r="U6" s="26" t="s">
        <v>13</v>
      </c>
      <c r="V6" s="26" t="s">
        <v>14</v>
      </c>
      <c r="W6" s="26" t="s">
        <v>8</v>
      </c>
      <c r="X6" s="26" t="s">
        <v>9</v>
      </c>
      <c r="Y6" s="26" t="s">
        <v>10</v>
      </c>
      <c r="Z6" s="26" t="s">
        <v>11</v>
      </c>
      <c r="AA6" s="26" t="s">
        <v>12</v>
      </c>
      <c r="AB6" s="26" t="s">
        <v>13</v>
      </c>
      <c r="AC6" s="26" t="s">
        <v>14</v>
      </c>
      <c r="AD6" s="26" t="s">
        <v>8</v>
      </c>
      <c r="AE6" s="26" t="s">
        <v>9</v>
      </c>
      <c r="AF6" s="26" t="s">
        <v>10</v>
      </c>
      <c r="AG6" s="26" t="s">
        <v>11</v>
      </c>
      <c r="AH6" s="26" t="s">
        <v>12</v>
      </c>
      <c r="AI6" s="26" t="s">
        <v>13</v>
      </c>
      <c r="AJ6" s="26" t="s">
        <v>14</v>
      </c>
      <c r="AK6" s="27" t="s">
        <v>15</v>
      </c>
      <c r="AL6" s="28" t="s">
        <v>16</v>
      </c>
      <c r="AM6" s="29" t="s">
        <v>17</v>
      </c>
      <c r="AN6" s="21"/>
    </row>
    <row r="7" spans="1:70" s="13" customFormat="1" ht="20.25" x14ac:dyDescent="0.25">
      <c r="A7" s="30"/>
      <c r="B7" s="142" t="s">
        <v>18</v>
      </c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4"/>
      <c r="AN7" s="21"/>
    </row>
    <row r="8" spans="1:70" ht="20.25" x14ac:dyDescent="0.25">
      <c r="B8" s="145" t="s">
        <v>68</v>
      </c>
      <c r="C8" s="146"/>
      <c r="D8" s="146"/>
      <c r="E8" s="146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8"/>
    </row>
    <row r="9" spans="1:70" ht="18.75" x14ac:dyDescent="0.25">
      <c r="B9" s="149" t="s">
        <v>20</v>
      </c>
      <c r="C9" s="150"/>
      <c r="D9" s="31"/>
      <c r="E9" s="32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4"/>
      <c r="AJ9" s="34"/>
      <c r="AK9" s="35"/>
      <c r="AL9" s="36"/>
      <c r="AM9" s="31"/>
    </row>
    <row r="10" spans="1:70" ht="18.75" x14ac:dyDescent="0.25">
      <c r="B10" s="151" t="s">
        <v>21</v>
      </c>
      <c r="C10" s="16" t="s">
        <v>16</v>
      </c>
      <c r="D10" s="153" t="s">
        <v>22</v>
      </c>
      <c r="E10" s="155">
        <f>+AK10</f>
        <v>150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157">
        <f>SUM(F11:AJ11)</f>
        <v>150</v>
      </c>
      <c r="AL10" s="159">
        <f>SUM(F10:AJ10)</f>
        <v>0</v>
      </c>
      <c r="AM10" s="38"/>
    </row>
    <row r="11" spans="1:70" ht="18.75" x14ac:dyDescent="0.25">
      <c r="B11" s="152"/>
      <c r="C11" s="16" t="s">
        <v>23</v>
      </c>
      <c r="D11" s="154"/>
      <c r="E11" s="156"/>
      <c r="F11" s="39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16">
        <v>150</v>
      </c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158"/>
      <c r="AL11" s="160"/>
      <c r="AM11" s="31"/>
    </row>
    <row r="12" spans="1:70" ht="18.75" x14ac:dyDescent="0.25">
      <c r="B12" s="41" t="s">
        <v>17</v>
      </c>
      <c r="C12" s="42" t="s">
        <v>24</v>
      </c>
      <c r="D12" s="29" t="s">
        <v>22</v>
      </c>
      <c r="E12" s="43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5"/>
      <c r="AL12" s="46"/>
      <c r="AM12" s="38"/>
    </row>
    <row r="13" spans="1:70" ht="20.25" x14ac:dyDescent="0.25">
      <c r="B13" s="145" t="s">
        <v>69</v>
      </c>
      <c r="C13" s="146"/>
      <c r="D13" s="146"/>
      <c r="E13" s="146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8"/>
    </row>
    <row r="14" spans="1:70" ht="18.75" x14ac:dyDescent="0.25">
      <c r="B14" s="149" t="s">
        <v>20</v>
      </c>
      <c r="C14" s="150"/>
      <c r="D14" s="31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4"/>
      <c r="AJ14" s="34"/>
      <c r="AK14" s="35"/>
      <c r="AL14" s="36"/>
      <c r="AM14" s="31"/>
    </row>
    <row r="15" spans="1:70" ht="18.75" x14ac:dyDescent="0.25">
      <c r="B15" s="151" t="s">
        <v>21</v>
      </c>
      <c r="C15" s="16" t="s">
        <v>16</v>
      </c>
      <c r="D15" s="153" t="s">
        <v>22</v>
      </c>
      <c r="E15" s="155">
        <f>AK15</f>
        <v>0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157">
        <f>SUM(F16:AJ16)</f>
        <v>0</v>
      </c>
      <c r="AL15" s="159">
        <f>SUM(F15:AJ15)</f>
        <v>0</v>
      </c>
      <c r="AM15" s="38"/>
    </row>
    <row r="16" spans="1:70" ht="18.75" x14ac:dyDescent="0.25">
      <c r="B16" s="152"/>
      <c r="C16" s="16" t="s">
        <v>23</v>
      </c>
      <c r="D16" s="154"/>
      <c r="E16" s="156"/>
      <c r="F16" s="39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158"/>
      <c r="AL16" s="160"/>
      <c r="AM16" s="31"/>
    </row>
    <row r="17" spans="2:39" ht="18.75" x14ac:dyDescent="0.25">
      <c r="B17" s="41" t="s">
        <v>17</v>
      </c>
      <c r="C17" s="42" t="s">
        <v>24</v>
      </c>
      <c r="D17" s="29" t="s">
        <v>22</v>
      </c>
      <c r="E17" s="43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5"/>
      <c r="AL17" s="46"/>
      <c r="AM17" s="38"/>
    </row>
    <row r="18" spans="2:39" ht="20.25" x14ac:dyDescent="0.25">
      <c r="B18" s="145" t="s">
        <v>70</v>
      </c>
      <c r="C18" s="146"/>
      <c r="D18" s="146"/>
      <c r="E18" s="146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8"/>
    </row>
    <row r="19" spans="2:39" ht="18.75" x14ac:dyDescent="0.25">
      <c r="B19" s="175" t="s">
        <v>20</v>
      </c>
      <c r="C19" s="176"/>
      <c r="D19" s="11"/>
      <c r="E19" s="32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4"/>
      <c r="AJ19" s="64"/>
      <c r="AK19" s="65"/>
      <c r="AL19" s="10"/>
      <c r="AM19" s="11"/>
    </row>
    <row r="20" spans="2:39" ht="18.75" x14ac:dyDescent="0.25">
      <c r="B20" s="151" t="s">
        <v>21</v>
      </c>
      <c r="C20" s="16" t="s">
        <v>16</v>
      </c>
      <c r="D20" s="153" t="s">
        <v>22</v>
      </c>
      <c r="E20" s="155">
        <f>AK20</f>
        <v>736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66"/>
      <c r="V20" s="66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157">
        <f>SUM(F21:AJ21)</f>
        <v>736</v>
      </c>
      <c r="AL20" s="159">
        <f>SUM(F20:AJ20)</f>
        <v>0</v>
      </c>
      <c r="AM20" s="38"/>
    </row>
    <row r="21" spans="2:39" ht="18.75" x14ac:dyDescent="0.25">
      <c r="B21" s="152"/>
      <c r="C21" s="16" t="s">
        <v>23</v>
      </c>
      <c r="D21" s="154"/>
      <c r="E21" s="156"/>
      <c r="F21" s="39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66">
        <v>60</v>
      </c>
      <c r="V21" s="66">
        <v>135</v>
      </c>
      <c r="W21" s="40"/>
      <c r="X21" s="40"/>
      <c r="Y21" s="16">
        <v>150</v>
      </c>
      <c r="Z21" s="16">
        <v>115</v>
      </c>
      <c r="AA21" s="16">
        <v>50</v>
      </c>
      <c r="AB21" s="40"/>
      <c r="AC21" s="40"/>
      <c r="AD21" s="40"/>
      <c r="AE21" s="16">
        <v>50</v>
      </c>
      <c r="AF21" s="40"/>
      <c r="AG21" s="16">
        <v>56</v>
      </c>
      <c r="AH21" s="40">
        <f>120</f>
        <v>120</v>
      </c>
      <c r="AI21" s="40"/>
      <c r="AJ21" s="40"/>
      <c r="AK21" s="158"/>
      <c r="AL21" s="160"/>
      <c r="AM21" s="31"/>
    </row>
    <row r="22" spans="2:39" ht="18.75" x14ac:dyDescent="0.25">
      <c r="B22" s="23" t="s">
        <v>17</v>
      </c>
      <c r="C22" s="24" t="s">
        <v>24</v>
      </c>
      <c r="D22" s="25" t="s">
        <v>22</v>
      </c>
      <c r="E22" s="67"/>
      <c r="F22" s="68">
        <f t="shared" ref="F22:AI22" si="0">SUM(F19:F21)</f>
        <v>0</v>
      </c>
      <c r="G22" s="68">
        <f t="shared" si="0"/>
        <v>0</v>
      </c>
      <c r="H22" s="68">
        <f t="shared" si="0"/>
        <v>0</v>
      </c>
      <c r="I22" s="68">
        <f t="shared" si="0"/>
        <v>0</v>
      </c>
      <c r="J22" s="68">
        <f t="shared" si="0"/>
        <v>0</v>
      </c>
      <c r="K22" s="68">
        <f t="shared" si="0"/>
        <v>0</v>
      </c>
      <c r="L22" s="68">
        <f t="shared" si="0"/>
        <v>0</v>
      </c>
      <c r="M22" s="69">
        <f t="shared" si="0"/>
        <v>0</v>
      </c>
      <c r="N22" s="68">
        <f t="shared" si="0"/>
        <v>0</v>
      </c>
      <c r="O22" s="68">
        <f t="shared" si="0"/>
        <v>0</v>
      </c>
      <c r="P22" s="68">
        <f t="shared" si="0"/>
        <v>0</v>
      </c>
      <c r="Q22" s="68">
        <f t="shared" si="0"/>
        <v>0</v>
      </c>
      <c r="R22" s="68">
        <f t="shared" si="0"/>
        <v>0</v>
      </c>
      <c r="S22" s="68">
        <f t="shared" si="0"/>
        <v>0</v>
      </c>
      <c r="T22" s="68">
        <f t="shared" si="0"/>
        <v>0</v>
      </c>
      <c r="U22" s="68">
        <f t="shared" si="0"/>
        <v>60</v>
      </c>
      <c r="V22" s="68">
        <f t="shared" si="0"/>
        <v>135</v>
      </c>
      <c r="W22" s="68">
        <f t="shared" si="0"/>
        <v>0</v>
      </c>
      <c r="X22" s="68">
        <f t="shared" si="0"/>
        <v>0</v>
      </c>
      <c r="Y22" s="68">
        <f t="shared" si="0"/>
        <v>150</v>
      </c>
      <c r="Z22" s="68">
        <f t="shared" si="0"/>
        <v>115</v>
      </c>
      <c r="AA22" s="68">
        <f t="shared" si="0"/>
        <v>50</v>
      </c>
      <c r="AB22" s="68">
        <f t="shared" si="0"/>
        <v>0</v>
      </c>
      <c r="AC22" s="68">
        <f t="shared" si="0"/>
        <v>0</v>
      </c>
      <c r="AD22" s="68">
        <f t="shared" si="0"/>
        <v>0</v>
      </c>
      <c r="AE22" s="68">
        <f t="shared" si="0"/>
        <v>50</v>
      </c>
      <c r="AF22" s="68">
        <f t="shared" si="0"/>
        <v>0</v>
      </c>
      <c r="AG22" s="68">
        <f t="shared" si="0"/>
        <v>56</v>
      </c>
      <c r="AH22" s="68">
        <f t="shared" si="0"/>
        <v>120</v>
      </c>
      <c r="AI22" s="68">
        <f t="shared" si="0"/>
        <v>0</v>
      </c>
      <c r="AJ22" s="68">
        <f>SUM(AJ19:AJ21)</f>
        <v>0</v>
      </c>
      <c r="AK22" s="70"/>
      <c r="AL22" s="71"/>
      <c r="AM22" s="72"/>
    </row>
    <row r="23" spans="2:39" ht="20.25" x14ac:dyDescent="0.25">
      <c r="B23" s="145" t="s">
        <v>71</v>
      </c>
      <c r="C23" s="146"/>
      <c r="D23" s="146"/>
      <c r="E23" s="146" t="s">
        <v>28</v>
      </c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77"/>
    </row>
    <row r="24" spans="2:39" ht="18.75" x14ac:dyDescent="0.25">
      <c r="B24" s="149" t="s">
        <v>20</v>
      </c>
      <c r="C24" s="150"/>
      <c r="D24" s="31"/>
      <c r="E24" s="4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4"/>
      <c r="AJ24" s="34"/>
      <c r="AK24" s="35"/>
      <c r="AL24" s="36"/>
      <c r="AM24" s="31"/>
    </row>
    <row r="25" spans="2:39" ht="18.75" x14ac:dyDescent="0.25">
      <c r="B25" s="30"/>
      <c r="C25" s="16" t="s">
        <v>16</v>
      </c>
      <c r="D25" s="49" t="s">
        <v>22</v>
      </c>
      <c r="E25" s="43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35"/>
      <c r="AL25" s="51">
        <f>SUM(F25:AJ25)</f>
        <v>0</v>
      </c>
      <c r="AM25" s="31"/>
    </row>
    <row r="26" spans="2:39" ht="18.75" x14ac:dyDescent="0.25">
      <c r="B26" s="161" t="s">
        <v>21</v>
      </c>
      <c r="C26" s="52" t="s">
        <v>29</v>
      </c>
      <c r="D26" s="164" t="s">
        <v>22</v>
      </c>
      <c r="E26" s="53">
        <f t="shared" ref="E26:E35" si="1">AK26</f>
        <v>1629</v>
      </c>
      <c r="F26" s="55"/>
      <c r="G26" s="55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>
        <v>45</v>
      </c>
      <c r="T26" s="33">
        <f>108+294</f>
        <v>402</v>
      </c>
      <c r="U26" s="33">
        <v>108</v>
      </c>
      <c r="V26" s="16">
        <v>150</v>
      </c>
      <c r="W26" s="16">
        <f>12</f>
        <v>12</v>
      </c>
      <c r="X26" s="55"/>
      <c r="Y26" s="55"/>
      <c r="Z26" s="33">
        <v>144</v>
      </c>
      <c r="AA26" s="33">
        <v>228</v>
      </c>
      <c r="AB26" s="55"/>
      <c r="AC26" s="55"/>
      <c r="AD26" s="55"/>
      <c r="AE26" s="55"/>
      <c r="AF26" s="33"/>
      <c r="AG26" s="33">
        <f>96+180</f>
        <v>276</v>
      </c>
      <c r="AH26" s="33">
        <f>264</f>
        <v>264</v>
      </c>
      <c r="AI26" s="34"/>
      <c r="AJ26" s="34"/>
      <c r="AK26" s="54">
        <f t="shared" ref="AK26:AK34" si="2">SUM(F26:AJ26)</f>
        <v>1629</v>
      </c>
      <c r="AL26" s="36"/>
      <c r="AM26" s="31"/>
    </row>
    <row r="27" spans="2:39" ht="18.75" x14ac:dyDescent="0.25">
      <c r="B27" s="162"/>
      <c r="C27" s="52" t="s">
        <v>30</v>
      </c>
      <c r="D27" s="165"/>
      <c r="E27" s="53">
        <f t="shared" si="1"/>
        <v>356</v>
      </c>
      <c r="F27" s="55"/>
      <c r="G27" s="55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>
        <v>306</v>
      </c>
      <c r="V27" s="16">
        <v>50</v>
      </c>
      <c r="W27" s="16"/>
      <c r="X27" s="55"/>
      <c r="Y27" s="55"/>
      <c r="Z27" s="55"/>
      <c r="AA27" s="55"/>
      <c r="AB27" s="55"/>
      <c r="AC27" s="55"/>
      <c r="AD27" s="55"/>
      <c r="AE27" s="55"/>
      <c r="AF27" s="33"/>
      <c r="AG27" s="33"/>
      <c r="AH27" s="33"/>
      <c r="AI27" s="34"/>
      <c r="AJ27" s="34"/>
      <c r="AK27" s="54">
        <f t="shared" si="2"/>
        <v>356</v>
      </c>
      <c r="AL27" s="36"/>
      <c r="AM27" s="31"/>
    </row>
    <row r="28" spans="2:39" ht="18.75" x14ac:dyDescent="0.25">
      <c r="B28" s="162"/>
      <c r="C28" s="52" t="s">
        <v>31</v>
      </c>
      <c r="D28" s="165"/>
      <c r="E28" s="53">
        <f t="shared" si="1"/>
        <v>924</v>
      </c>
      <c r="F28" s="55"/>
      <c r="G28" s="55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16"/>
      <c r="W28" s="16">
        <f>180+216</f>
        <v>396</v>
      </c>
      <c r="X28" s="33">
        <v>264</v>
      </c>
      <c r="Y28" s="55"/>
      <c r="Z28" s="55"/>
      <c r="AA28" s="55"/>
      <c r="AB28" s="55"/>
      <c r="AC28" s="55"/>
      <c r="AD28" s="55"/>
      <c r="AE28" s="55"/>
      <c r="AF28" s="33"/>
      <c r="AG28" s="33"/>
      <c r="AH28" s="33">
        <f>36+228</f>
        <v>264</v>
      </c>
      <c r="AI28" s="34"/>
      <c r="AJ28" s="34"/>
      <c r="AK28" s="54">
        <f t="shared" si="2"/>
        <v>924</v>
      </c>
      <c r="AL28" s="36"/>
      <c r="AM28" s="31"/>
    </row>
    <row r="29" spans="2:39" ht="18.75" x14ac:dyDescent="0.25">
      <c r="B29" s="162"/>
      <c r="C29" s="52" t="s">
        <v>32</v>
      </c>
      <c r="D29" s="165"/>
      <c r="E29" s="53">
        <f t="shared" si="1"/>
        <v>1052</v>
      </c>
      <c r="F29" s="55"/>
      <c r="G29" s="55"/>
      <c r="H29" s="55"/>
      <c r="I29" s="55"/>
      <c r="J29" s="55"/>
      <c r="K29" s="33"/>
      <c r="L29" s="33">
        <v>90</v>
      </c>
      <c r="M29" s="33"/>
      <c r="N29" s="33">
        <v>372</v>
      </c>
      <c r="O29" s="33">
        <v>40</v>
      </c>
      <c r="P29" s="33"/>
      <c r="Q29" s="33">
        <v>56</v>
      </c>
      <c r="R29" s="33">
        <v>56</v>
      </c>
      <c r="S29" s="55"/>
      <c r="T29" s="55"/>
      <c r="U29" s="33"/>
      <c r="V29" s="16"/>
      <c r="W29" s="16"/>
      <c r="X29" s="33">
        <v>252</v>
      </c>
      <c r="Y29" s="33">
        <v>186</v>
      </c>
      <c r="Z29" s="55"/>
      <c r="AA29" s="55"/>
      <c r="AB29" s="55"/>
      <c r="AC29" s="55"/>
      <c r="AD29" s="55"/>
      <c r="AE29" s="55"/>
      <c r="AF29" s="55"/>
      <c r="AG29" s="55"/>
      <c r="AH29" s="33"/>
      <c r="AI29" s="34"/>
      <c r="AJ29" s="34"/>
      <c r="AK29" s="54">
        <f t="shared" si="2"/>
        <v>1052</v>
      </c>
      <c r="AL29" s="36"/>
      <c r="AM29" s="31"/>
    </row>
    <row r="30" spans="2:39" ht="18.75" hidden="1" x14ac:dyDescent="0.25">
      <c r="B30" s="162"/>
      <c r="C30" s="52" t="s">
        <v>33</v>
      </c>
      <c r="D30" s="165"/>
      <c r="E30" s="53">
        <f t="shared" si="1"/>
        <v>0</v>
      </c>
      <c r="F30" s="55"/>
      <c r="G30" s="55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16"/>
      <c r="W30" s="16"/>
      <c r="X30" s="55"/>
      <c r="Y30" s="55"/>
      <c r="Z30" s="55"/>
      <c r="AA30" s="55"/>
      <c r="AB30" s="55"/>
      <c r="AC30" s="55"/>
      <c r="AD30" s="55"/>
      <c r="AE30" s="55"/>
      <c r="AF30" s="33"/>
      <c r="AG30" s="33"/>
      <c r="AH30" s="33"/>
      <c r="AI30" s="34"/>
      <c r="AJ30" s="34"/>
      <c r="AK30" s="54">
        <f t="shared" si="2"/>
        <v>0</v>
      </c>
      <c r="AL30" s="36"/>
      <c r="AM30" s="31"/>
    </row>
    <row r="31" spans="2:39" ht="18.75" hidden="1" x14ac:dyDescent="0.25">
      <c r="B31" s="162"/>
      <c r="C31" s="52" t="s">
        <v>34</v>
      </c>
      <c r="D31" s="165"/>
      <c r="E31" s="53">
        <f t="shared" si="1"/>
        <v>0</v>
      </c>
      <c r="F31" s="33"/>
      <c r="G31" s="55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40"/>
      <c r="W31" s="40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4"/>
      <c r="AJ31" s="34"/>
      <c r="AK31" s="54">
        <f t="shared" si="2"/>
        <v>0</v>
      </c>
      <c r="AL31" s="36"/>
      <c r="AM31" s="31"/>
    </row>
    <row r="32" spans="2:39" ht="18.75" hidden="1" x14ac:dyDescent="0.25">
      <c r="B32" s="162"/>
      <c r="C32" s="52" t="s">
        <v>35</v>
      </c>
      <c r="D32" s="165"/>
      <c r="E32" s="53">
        <f t="shared" si="1"/>
        <v>0</v>
      </c>
      <c r="F32" s="33"/>
      <c r="G32" s="55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40"/>
      <c r="W32" s="40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4"/>
      <c r="AJ32" s="34"/>
      <c r="AK32" s="54">
        <f t="shared" si="2"/>
        <v>0</v>
      </c>
      <c r="AL32" s="36"/>
      <c r="AM32" s="31"/>
    </row>
    <row r="33" spans="2:39" ht="18.75" hidden="1" x14ac:dyDescent="0.25">
      <c r="B33" s="162"/>
      <c r="C33" s="52" t="s">
        <v>36</v>
      </c>
      <c r="D33" s="165"/>
      <c r="E33" s="53">
        <f t="shared" si="1"/>
        <v>0</v>
      </c>
      <c r="F33" s="33"/>
      <c r="G33" s="55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40"/>
      <c r="W33" s="40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4"/>
      <c r="AJ33" s="34"/>
      <c r="AK33" s="54">
        <f t="shared" si="2"/>
        <v>0</v>
      </c>
      <c r="AL33" s="36"/>
      <c r="AM33" s="31"/>
    </row>
    <row r="34" spans="2:39" ht="18.75" x14ac:dyDescent="0.25">
      <c r="B34" s="163"/>
      <c r="C34" s="52" t="s">
        <v>37</v>
      </c>
      <c r="D34" s="166"/>
      <c r="E34" s="53">
        <f t="shared" si="1"/>
        <v>0</v>
      </c>
      <c r="F34" s="33"/>
      <c r="G34" s="55"/>
      <c r="H34" s="55"/>
      <c r="I34" s="55"/>
      <c r="J34" s="55"/>
      <c r="K34" s="55"/>
      <c r="L34" s="55"/>
      <c r="M34" s="33"/>
      <c r="N34" s="33"/>
      <c r="O34" s="33"/>
      <c r="P34" s="55"/>
      <c r="Q34" s="55"/>
      <c r="R34" s="55"/>
      <c r="S34" s="55"/>
      <c r="T34" s="33"/>
      <c r="U34" s="55"/>
      <c r="V34" s="40"/>
      <c r="W34" s="40"/>
      <c r="X34" s="33"/>
      <c r="Y34" s="33"/>
      <c r="Z34" s="33"/>
      <c r="AA34" s="33"/>
      <c r="AB34" s="33"/>
      <c r="AC34" s="33"/>
      <c r="AD34" s="33"/>
      <c r="AE34" s="33"/>
      <c r="AF34" s="33"/>
      <c r="AG34" s="55"/>
      <c r="AH34" s="55"/>
      <c r="AI34" s="56"/>
      <c r="AJ34" s="56"/>
      <c r="AK34" s="54">
        <f t="shared" si="2"/>
        <v>0</v>
      </c>
      <c r="AL34" s="36"/>
      <c r="AM34" s="31"/>
    </row>
    <row r="35" spans="2:39" ht="18.75" x14ac:dyDescent="0.25">
      <c r="B35" s="16" t="s">
        <v>17</v>
      </c>
      <c r="C35" s="52" t="s">
        <v>38</v>
      </c>
      <c r="D35" s="31" t="s">
        <v>22</v>
      </c>
      <c r="E35" s="53">
        <f t="shared" si="1"/>
        <v>3961</v>
      </c>
      <c r="F35" s="33">
        <f t="shared" ref="F35:AI35" si="3">SUM(F26:F34)</f>
        <v>0</v>
      </c>
      <c r="G35" s="33">
        <f t="shared" si="3"/>
        <v>0</v>
      </c>
      <c r="H35" s="33">
        <f t="shared" si="3"/>
        <v>0</v>
      </c>
      <c r="I35" s="33">
        <f t="shared" si="3"/>
        <v>0</v>
      </c>
      <c r="J35" s="33">
        <f t="shared" si="3"/>
        <v>0</v>
      </c>
      <c r="K35" s="33">
        <f t="shared" si="3"/>
        <v>0</v>
      </c>
      <c r="L35" s="33">
        <f t="shared" si="3"/>
        <v>90</v>
      </c>
      <c r="M35" s="33">
        <f t="shared" si="3"/>
        <v>0</v>
      </c>
      <c r="N35" s="33">
        <f t="shared" si="3"/>
        <v>372</v>
      </c>
      <c r="O35" s="33">
        <f t="shared" si="3"/>
        <v>40</v>
      </c>
      <c r="P35" s="33">
        <f t="shared" si="3"/>
        <v>0</v>
      </c>
      <c r="Q35" s="33">
        <f t="shared" si="3"/>
        <v>56</v>
      </c>
      <c r="R35" s="33">
        <f t="shared" si="3"/>
        <v>56</v>
      </c>
      <c r="S35" s="33">
        <f t="shared" si="3"/>
        <v>45</v>
      </c>
      <c r="T35" s="33">
        <f t="shared" si="3"/>
        <v>402</v>
      </c>
      <c r="U35" s="33">
        <f t="shared" si="3"/>
        <v>414</v>
      </c>
      <c r="V35" s="40">
        <f>SUM(V26:V34)</f>
        <v>200</v>
      </c>
      <c r="W35" s="40">
        <f t="shared" si="3"/>
        <v>408</v>
      </c>
      <c r="X35" s="33">
        <f t="shared" si="3"/>
        <v>516</v>
      </c>
      <c r="Y35" s="33">
        <f t="shared" si="3"/>
        <v>186</v>
      </c>
      <c r="Z35" s="33">
        <f t="shared" si="3"/>
        <v>144</v>
      </c>
      <c r="AA35" s="33">
        <f t="shared" si="3"/>
        <v>228</v>
      </c>
      <c r="AB35" s="33">
        <f t="shared" si="3"/>
        <v>0</v>
      </c>
      <c r="AC35" s="33">
        <f t="shared" si="3"/>
        <v>0</v>
      </c>
      <c r="AD35" s="33">
        <f t="shared" si="3"/>
        <v>0</v>
      </c>
      <c r="AE35" s="33">
        <f t="shared" si="3"/>
        <v>0</v>
      </c>
      <c r="AF35" s="33">
        <f t="shared" si="3"/>
        <v>0</v>
      </c>
      <c r="AG35" s="33">
        <f t="shared" si="3"/>
        <v>276</v>
      </c>
      <c r="AH35" s="33">
        <f t="shared" si="3"/>
        <v>528</v>
      </c>
      <c r="AI35" s="34">
        <f t="shared" si="3"/>
        <v>0</v>
      </c>
      <c r="AJ35" s="34">
        <f>SUM(AJ26:AJ34)</f>
        <v>0</v>
      </c>
      <c r="AK35" s="54">
        <f>SUM(AK26:AK34)</f>
        <v>3961</v>
      </c>
      <c r="AL35" s="36"/>
      <c r="AM35" s="31"/>
    </row>
    <row r="36" spans="2:39" ht="20.25" x14ac:dyDescent="0.25">
      <c r="B36" s="145" t="s">
        <v>72</v>
      </c>
      <c r="C36" s="146"/>
      <c r="D36" s="146"/>
      <c r="E36" s="146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8"/>
    </row>
    <row r="37" spans="2:39" ht="18.75" x14ac:dyDescent="0.25">
      <c r="B37" s="175" t="s">
        <v>20</v>
      </c>
      <c r="C37" s="176"/>
      <c r="D37" s="11"/>
      <c r="E37" s="32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4"/>
      <c r="AJ37" s="64"/>
      <c r="AK37" s="65"/>
      <c r="AL37" s="10"/>
      <c r="AM37" s="11"/>
    </row>
    <row r="38" spans="2:39" ht="18.75" x14ac:dyDescent="0.25">
      <c r="B38" s="151" t="s">
        <v>21</v>
      </c>
      <c r="C38" s="16" t="s">
        <v>16</v>
      </c>
      <c r="D38" s="153" t="s">
        <v>22</v>
      </c>
      <c r="E38" s="155">
        <f>AK38+2190</f>
        <v>5013</v>
      </c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157">
        <f>SUM(F39:AJ39)</f>
        <v>2823</v>
      </c>
      <c r="AL38" s="159">
        <f>SUM(F38:AJ38)</f>
        <v>0</v>
      </c>
      <c r="AM38" s="38"/>
    </row>
    <row r="39" spans="2:39" ht="18.75" x14ac:dyDescent="0.25">
      <c r="B39" s="152"/>
      <c r="C39" s="16" t="s">
        <v>23</v>
      </c>
      <c r="D39" s="154"/>
      <c r="E39" s="156"/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16">
        <v>84</v>
      </c>
      <c r="R39" s="40"/>
      <c r="S39" s="40"/>
      <c r="T39" s="16">
        <v>180</v>
      </c>
      <c r="U39" s="16">
        <f>60+72</f>
        <v>132</v>
      </c>
      <c r="V39" s="40"/>
      <c r="W39" s="40"/>
      <c r="X39" s="16">
        <v>40</v>
      </c>
      <c r="Y39" s="16">
        <f>14+168</f>
        <v>182</v>
      </c>
      <c r="Z39" s="16">
        <v>254</v>
      </c>
      <c r="AA39" s="16">
        <f>144</f>
        <v>144</v>
      </c>
      <c r="AB39" s="16">
        <f>246+180</f>
        <v>426</v>
      </c>
      <c r="AC39" s="16">
        <f>144+70+144</f>
        <v>358</v>
      </c>
      <c r="AD39" s="16">
        <f>144+56+84</f>
        <v>284</v>
      </c>
      <c r="AE39" s="16">
        <f>168+24+132</f>
        <v>324</v>
      </c>
      <c r="AF39" s="16">
        <f>168+55+168</f>
        <v>391</v>
      </c>
      <c r="AG39" s="16">
        <f>24</f>
        <v>24</v>
      </c>
      <c r="AH39" s="40"/>
      <c r="AI39" s="40"/>
      <c r="AJ39" s="40"/>
      <c r="AK39" s="158"/>
      <c r="AL39" s="160"/>
      <c r="AM39" s="31"/>
    </row>
    <row r="40" spans="2:39" ht="18.75" x14ac:dyDescent="0.25">
      <c r="B40" s="23" t="s">
        <v>17</v>
      </c>
      <c r="C40" s="24" t="s">
        <v>24</v>
      </c>
      <c r="D40" s="25" t="s">
        <v>22</v>
      </c>
      <c r="E40" s="67"/>
      <c r="F40" s="68">
        <f t="shared" ref="F40:AI45" si="4">SUM(F37:F39)</f>
        <v>0</v>
      </c>
      <c r="G40" s="68">
        <f t="shared" si="4"/>
        <v>0</v>
      </c>
      <c r="H40" s="68">
        <f t="shared" si="4"/>
        <v>0</v>
      </c>
      <c r="I40" s="68">
        <f t="shared" si="4"/>
        <v>0</v>
      </c>
      <c r="J40" s="68">
        <f t="shared" si="4"/>
        <v>0</v>
      </c>
      <c r="K40" s="68">
        <f t="shared" si="4"/>
        <v>0</v>
      </c>
      <c r="L40" s="68">
        <f t="shared" si="4"/>
        <v>0</v>
      </c>
      <c r="M40" s="69">
        <f t="shared" si="4"/>
        <v>0</v>
      </c>
      <c r="N40" s="68">
        <f t="shared" si="4"/>
        <v>0</v>
      </c>
      <c r="O40" s="68">
        <f t="shared" si="4"/>
        <v>0</v>
      </c>
      <c r="P40" s="68">
        <f t="shared" si="4"/>
        <v>0</v>
      </c>
      <c r="Q40" s="68">
        <f t="shared" si="4"/>
        <v>84</v>
      </c>
      <c r="R40" s="68">
        <f t="shared" si="4"/>
        <v>0</v>
      </c>
      <c r="S40" s="68">
        <f t="shared" si="4"/>
        <v>0</v>
      </c>
      <c r="T40" s="68">
        <f t="shared" si="4"/>
        <v>180</v>
      </c>
      <c r="U40" s="68">
        <f t="shared" si="4"/>
        <v>132</v>
      </c>
      <c r="V40" s="68">
        <f t="shared" si="4"/>
        <v>0</v>
      </c>
      <c r="W40" s="68">
        <f t="shared" si="4"/>
        <v>0</v>
      </c>
      <c r="X40" s="68">
        <f t="shared" si="4"/>
        <v>40</v>
      </c>
      <c r="Y40" s="68">
        <f t="shared" si="4"/>
        <v>182</v>
      </c>
      <c r="Z40" s="68">
        <f t="shared" si="4"/>
        <v>254</v>
      </c>
      <c r="AA40" s="68">
        <f t="shared" si="4"/>
        <v>144</v>
      </c>
      <c r="AB40" s="68">
        <f t="shared" si="4"/>
        <v>426</v>
      </c>
      <c r="AC40" s="68">
        <f t="shared" si="4"/>
        <v>358</v>
      </c>
      <c r="AD40" s="68">
        <f t="shared" si="4"/>
        <v>284</v>
      </c>
      <c r="AE40" s="68">
        <f t="shared" si="4"/>
        <v>324</v>
      </c>
      <c r="AF40" s="68">
        <f t="shared" si="4"/>
        <v>391</v>
      </c>
      <c r="AG40" s="68">
        <f t="shared" si="4"/>
        <v>24</v>
      </c>
      <c r="AH40" s="68">
        <f t="shared" si="4"/>
        <v>0</v>
      </c>
      <c r="AI40" s="68">
        <f t="shared" si="4"/>
        <v>0</v>
      </c>
      <c r="AJ40" s="68">
        <f>SUM(AJ37:AJ39)</f>
        <v>0</v>
      </c>
      <c r="AK40" s="70"/>
      <c r="AL40" s="71"/>
      <c r="AM40" s="72"/>
    </row>
    <row r="41" spans="2:39" ht="20.25" x14ac:dyDescent="0.25">
      <c r="B41" s="145" t="s">
        <v>73</v>
      </c>
      <c r="C41" s="146"/>
      <c r="D41" s="146"/>
      <c r="E41" s="146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8"/>
    </row>
    <row r="42" spans="2:39" ht="18.75" x14ac:dyDescent="0.25">
      <c r="B42" s="175" t="s">
        <v>20</v>
      </c>
      <c r="C42" s="176"/>
      <c r="D42" s="11"/>
      <c r="E42" s="32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4"/>
      <c r="AJ42" s="64"/>
      <c r="AK42" s="65"/>
      <c r="AL42" s="10"/>
      <c r="AM42" s="11"/>
    </row>
    <row r="43" spans="2:39" ht="18.75" x14ac:dyDescent="0.25">
      <c r="B43" s="151" t="s">
        <v>21</v>
      </c>
      <c r="C43" s="16" t="s">
        <v>16</v>
      </c>
      <c r="D43" s="153" t="s">
        <v>22</v>
      </c>
      <c r="E43" s="155">
        <f>AK43+2190</f>
        <v>2548</v>
      </c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157">
        <f>SUM(F44:AJ44)</f>
        <v>358</v>
      </c>
      <c r="AL43" s="159">
        <f>SUM(F43:AJ43)</f>
        <v>0</v>
      </c>
      <c r="AM43" s="38"/>
    </row>
    <row r="44" spans="2:39" ht="18.75" x14ac:dyDescent="0.25">
      <c r="B44" s="152"/>
      <c r="C44" s="16" t="s">
        <v>23</v>
      </c>
      <c r="D44" s="154"/>
      <c r="E44" s="156"/>
      <c r="F44" s="39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16"/>
      <c r="R44" s="40"/>
      <c r="S44" s="40"/>
      <c r="T44" s="16"/>
      <c r="U44" s="16"/>
      <c r="V44" s="40"/>
      <c r="W44" s="40"/>
      <c r="X44" s="16"/>
      <c r="Y44" s="16"/>
      <c r="Z44" s="16"/>
      <c r="AA44" s="16">
        <v>98</v>
      </c>
      <c r="AB44" s="16">
        <v>100</v>
      </c>
      <c r="AC44" s="16"/>
      <c r="AD44" s="16"/>
      <c r="AE44" s="16"/>
      <c r="AF44" s="16">
        <v>100</v>
      </c>
      <c r="AG44" s="16">
        <v>30</v>
      </c>
      <c r="AH44" s="40">
        <f>30</f>
        <v>30</v>
      </c>
      <c r="AI44" s="40"/>
      <c r="AJ44" s="40"/>
      <c r="AK44" s="158"/>
      <c r="AL44" s="160"/>
      <c r="AM44" s="31"/>
    </row>
    <row r="45" spans="2:39" ht="18.75" x14ac:dyDescent="0.25">
      <c r="B45" s="23" t="s">
        <v>17</v>
      </c>
      <c r="C45" s="24" t="s">
        <v>24</v>
      </c>
      <c r="D45" s="25" t="s">
        <v>22</v>
      </c>
      <c r="E45" s="67"/>
      <c r="F45" s="68">
        <f t="shared" si="4"/>
        <v>0</v>
      </c>
      <c r="G45" s="68">
        <f t="shared" si="4"/>
        <v>0</v>
      </c>
      <c r="H45" s="68">
        <f t="shared" si="4"/>
        <v>0</v>
      </c>
      <c r="I45" s="68">
        <f t="shared" si="4"/>
        <v>0</v>
      </c>
      <c r="J45" s="68">
        <f t="shared" si="4"/>
        <v>0</v>
      </c>
      <c r="K45" s="68">
        <f t="shared" si="4"/>
        <v>0</v>
      </c>
      <c r="L45" s="68">
        <f t="shared" si="4"/>
        <v>0</v>
      </c>
      <c r="M45" s="69">
        <f t="shared" si="4"/>
        <v>0</v>
      </c>
      <c r="N45" s="68">
        <f t="shared" si="4"/>
        <v>0</v>
      </c>
      <c r="O45" s="68">
        <f t="shared" si="4"/>
        <v>0</v>
      </c>
      <c r="P45" s="68">
        <f t="shared" si="4"/>
        <v>0</v>
      </c>
      <c r="Q45" s="68">
        <f t="shared" si="4"/>
        <v>0</v>
      </c>
      <c r="R45" s="68">
        <f t="shared" si="4"/>
        <v>0</v>
      </c>
      <c r="S45" s="68">
        <f t="shared" si="4"/>
        <v>0</v>
      </c>
      <c r="T45" s="68">
        <f t="shared" si="4"/>
        <v>0</v>
      </c>
      <c r="U45" s="68">
        <f t="shared" si="4"/>
        <v>0</v>
      </c>
      <c r="V45" s="68">
        <f t="shared" si="4"/>
        <v>0</v>
      </c>
      <c r="W45" s="68">
        <f t="shared" si="4"/>
        <v>0</v>
      </c>
      <c r="X45" s="68">
        <f t="shared" si="4"/>
        <v>0</v>
      </c>
      <c r="Y45" s="68">
        <f t="shared" si="4"/>
        <v>0</v>
      </c>
      <c r="Z45" s="68">
        <f t="shared" si="4"/>
        <v>0</v>
      </c>
      <c r="AA45" s="68">
        <f t="shared" si="4"/>
        <v>98</v>
      </c>
      <c r="AB45" s="68">
        <f t="shared" si="4"/>
        <v>100</v>
      </c>
      <c r="AC45" s="68">
        <f t="shared" si="4"/>
        <v>0</v>
      </c>
      <c r="AD45" s="68">
        <f t="shared" si="4"/>
        <v>0</v>
      </c>
      <c r="AE45" s="68">
        <f t="shared" si="4"/>
        <v>0</v>
      </c>
      <c r="AF45" s="68">
        <f t="shared" si="4"/>
        <v>100</v>
      </c>
      <c r="AG45" s="68">
        <f t="shared" si="4"/>
        <v>30</v>
      </c>
      <c r="AH45" s="68">
        <f t="shared" si="4"/>
        <v>30</v>
      </c>
      <c r="AI45" s="68">
        <f t="shared" si="4"/>
        <v>0</v>
      </c>
      <c r="AJ45" s="68">
        <f>SUM(AJ42:AJ44)</f>
        <v>0</v>
      </c>
      <c r="AK45" s="70"/>
      <c r="AL45" s="71"/>
      <c r="AM45" s="72"/>
    </row>
  </sheetData>
  <mergeCells count="49">
    <mergeCell ref="AL38:AL39"/>
    <mergeCell ref="B41:AM41"/>
    <mergeCell ref="B42:C42"/>
    <mergeCell ref="B43:B44"/>
    <mergeCell ref="D43:D44"/>
    <mergeCell ref="E43:E44"/>
    <mergeCell ref="AK43:AK44"/>
    <mergeCell ref="AL43:AL44"/>
    <mergeCell ref="B37:C37"/>
    <mergeCell ref="B38:B39"/>
    <mergeCell ref="D38:D39"/>
    <mergeCell ref="E38:E39"/>
    <mergeCell ref="AK38:AK39"/>
    <mergeCell ref="B23:AM23"/>
    <mergeCell ref="B24:C24"/>
    <mergeCell ref="B26:B34"/>
    <mergeCell ref="D26:D34"/>
    <mergeCell ref="B36:AM36"/>
    <mergeCell ref="B18:AM18"/>
    <mergeCell ref="B19:C19"/>
    <mergeCell ref="B20:B21"/>
    <mergeCell ref="D20:D21"/>
    <mergeCell ref="E20:E21"/>
    <mergeCell ref="AK20:AK21"/>
    <mergeCell ref="AL20:AL21"/>
    <mergeCell ref="B13:AM13"/>
    <mergeCell ref="B14:C14"/>
    <mergeCell ref="B15:B16"/>
    <mergeCell ref="D15:D16"/>
    <mergeCell ref="E15:E16"/>
    <mergeCell ref="AK15:AK16"/>
    <mergeCell ref="AL15:AL16"/>
    <mergeCell ref="B7:AM7"/>
    <mergeCell ref="B8:AM8"/>
    <mergeCell ref="B9:C9"/>
    <mergeCell ref="B10:B11"/>
    <mergeCell ref="D10:D11"/>
    <mergeCell ref="E10:E11"/>
    <mergeCell ref="AK10:AK11"/>
    <mergeCell ref="AL10:AL11"/>
    <mergeCell ref="O2:Z2"/>
    <mergeCell ref="AH2:AM2"/>
    <mergeCell ref="A3:AN3"/>
    <mergeCell ref="B4:D4"/>
    <mergeCell ref="E4:E6"/>
    <mergeCell ref="F4:AM4"/>
    <mergeCell ref="B5:D5"/>
    <mergeCell ref="AK5:AM5"/>
    <mergeCell ref="B6:D6"/>
  </mergeCells>
  <pageMargins left="0.70866099999999987" right="0.70866099999999987" top="0.748031" bottom="0.748031" header="0.31496099999999999" footer="0.31496099999999999"/>
  <pageSetup paperSize="9" scale="3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"/>
  <dimension ref="A1:I38"/>
  <sheetViews>
    <sheetView topLeftCell="A16" workbookViewId="0">
      <selection activeCell="D42" sqref="D42"/>
    </sheetView>
  </sheetViews>
  <sheetFormatPr defaultRowHeight="15" customHeight="1" x14ac:dyDescent="0.25"/>
  <cols>
    <col min="1" max="1" width="4.28515625" customWidth="1"/>
    <col min="2" max="2" width="24.7109375" customWidth="1"/>
    <col min="3" max="3" width="17.7109375" customWidth="1"/>
    <col min="4" max="4" width="12.7109375" customWidth="1"/>
    <col min="5" max="5" width="16.42578125" customWidth="1"/>
  </cols>
  <sheetData>
    <row r="1" spans="1:9" ht="18.75" x14ac:dyDescent="0.3">
      <c r="A1" s="181" t="s">
        <v>74</v>
      </c>
      <c r="B1" s="181"/>
      <c r="C1" s="181"/>
      <c r="D1" s="181"/>
      <c r="E1" s="181"/>
    </row>
    <row r="2" spans="1:9" ht="18.75" x14ac:dyDescent="0.3">
      <c r="A2" s="73" t="s">
        <v>75</v>
      </c>
      <c r="B2" s="73" t="s">
        <v>76</v>
      </c>
      <c r="C2" s="73" t="s">
        <v>77</v>
      </c>
      <c r="D2" s="73" t="s">
        <v>78</v>
      </c>
      <c r="E2" s="73" t="s">
        <v>79</v>
      </c>
    </row>
    <row r="3" spans="1:9" ht="18.75" x14ac:dyDescent="0.3">
      <c r="A3" s="73"/>
      <c r="B3" s="178" t="s">
        <v>80</v>
      </c>
      <c r="C3" s="179"/>
      <c r="D3" s="179"/>
      <c r="E3" s="180"/>
    </row>
    <row r="4" spans="1:9" ht="18.75" x14ac:dyDescent="0.3">
      <c r="A4" s="73">
        <v>1</v>
      </c>
      <c r="B4" s="74"/>
      <c r="C4" s="75" t="s">
        <v>81</v>
      </c>
      <c r="D4" s="74" t="s">
        <v>82</v>
      </c>
      <c r="E4" s="74"/>
    </row>
    <row r="5" spans="1:9" ht="18.75" x14ac:dyDescent="0.3">
      <c r="A5" s="73">
        <v>2</v>
      </c>
      <c r="B5" s="74"/>
      <c r="C5" s="75" t="s">
        <v>81</v>
      </c>
      <c r="D5" s="74" t="s">
        <v>83</v>
      </c>
      <c r="E5" s="74"/>
      <c r="G5" s="1"/>
      <c r="H5" s="1"/>
      <c r="I5" s="1"/>
    </row>
    <row r="6" spans="1:9" ht="18.75" x14ac:dyDescent="0.3">
      <c r="A6" s="73">
        <v>3</v>
      </c>
      <c r="B6" s="74"/>
      <c r="C6" s="75" t="s">
        <v>81</v>
      </c>
      <c r="D6" s="74" t="s">
        <v>84</v>
      </c>
      <c r="E6" s="74"/>
      <c r="G6" s="1"/>
      <c r="H6" s="1"/>
      <c r="I6" s="1"/>
    </row>
    <row r="7" spans="1:9" ht="18.75" x14ac:dyDescent="0.3">
      <c r="A7" s="73">
        <v>4</v>
      </c>
      <c r="B7" s="74"/>
      <c r="C7" s="75" t="s">
        <v>81</v>
      </c>
      <c r="D7" s="74" t="s">
        <v>85</v>
      </c>
      <c r="E7" s="74"/>
      <c r="G7" s="76"/>
      <c r="H7" s="76"/>
      <c r="I7" s="1"/>
    </row>
    <row r="8" spans="1:9" ht="18.75" x14ac:dyDescent="0.3">
      <c r="A8" s="73">
        <v>5</v>
      </c>
      <c r="B8" s="74"/>
      <c r="C8" s="75" t="s">
        <v>86</v>
      </c>
      <c r="D8" s="75" t="s">
        <v>87</v>
      </c>
      <c r="E8" s="74"/>
      <c r="G8" s="1"/>
      <c r="H8" s="1"/>
      <c r="I8" s="1"/>
    </row>
    <row r="9" spans="1:9" ht="18.75" x14ac:dyDescent="0.3">
      <c r="A9" s="73">
        <v>6</v>
      </c>
      <c r="B9" s="74"/>
      <c r="C9" s="74" t="s">
        <v>88</v>
      </c>
      <c r="D9" s="75">
        <v>9178</v>
      </c>
      <c r="E9" s="74"/>
      <c r="G9" s="1"/>
      <c r="H9" s="1"/>
      <c r="I9" s="1"/>
    </row>
    <row r="10" spans="1:9" ht="18.75" x14ac:dyDescent="0.3">
      <c r="A10" s="73">
        <v>7</v>
      </c>
      <c r="B10" s="74"/>
      <c r="C10" s="74" t="s">
        <v>89</v>
      </c>
      <c r="D10" s="75" t="s">
        <v>90</v>
      </c>
      <c r="E10" s="74"/>
    </row>
    <row r="11" spans="1:9" ht="18.75" x14ac:dyDescent="0.3">
      <c r="A11" s="73">
        <v>8</v>
      </c>
      <c r="B11" s="74"/>
      <c r="C11" s="74" t="s">
        <v>89</v>
      </c>
      <c r="D11" s="75" t="s">
        <v>91</v>
      </c>
      <c r="E11" s="74"/>
    </row>
    <row r="12" spans="1:9" ht="18.75" x14ac:dyDescent="0.3">
      <c r="A12" s="73">
        <v>9</v>
      </c>
      <c r="B12" s="74"/>
      <c r="C12" s="74" t="s">
        <v>89</v>
      </c>
      <c r="D12" s="75">
        <v>4465</v>
      </c>
      <c r="E12" s="74"/>
    </row>
    <row r="13" spans="1:9" ht="18.75" x14ac:dyDescent="0.3">
      <c r="A13" s="73"/>
      <c r="B13" s="74"/>
      <c r="C13" s="74" t="s">
        <v>92</v>
      </c>
      <c r="D13" s="75"/>
      <c r="E13" s="74"/>
    </row>
    <row r="14" spans="1:9" ht="18.75" x14ac:dyDescent="0.3">
      <c r="A14" s="73"/>
      <c r="B14" s="74"/>
    </row>
    <row r="15" spans="1:9" ht="18.75" x14ac:dyDescent="0.3">
      <c r="A15" s="73">
        <v>10</v>
      </c>
      <c r="B15" s="74"/>
      <c r="C15" s="74" t="s">
        <v>89</v>
      </c>
      <c r="D15" s="75" t="s">
        <v>93</v>
      </c>
      <c r="E15" s="74"/>
    </row>
    <row r="16" spans="1:9" ht="18.75" x14ac:dyDescent="0.3">
      <c r="A16" s="73">
        <v>11</v>
      </c>
      <c r="B16" s="178" t="s">
        <v>94</v>
      </c>
      <c r="C16" s="179"/>
      <c r="D16" s="179"/>
      <c r="E16" s="180"/>
    </row>
    <row r="17" spans="1:5" ht="18.75" x14ac:dyDescent="0.3">
      <c r="A17" s="73">
        <v>12</v>
      </c>
      <c r="B17" s="77"/>
      <c r="C17" s="75" t="s">
        <v>95</v>
      </c>
      <c r="D17" s="75" t="s">
        <v>96</v>
      </c>
      <c r="E17" s="78"/>
    </row>
    <row r="18" spans="1:5" ht="18.75" x14ac:dyDescent="0.3">
      <c r="A18" s="73">
        <v>13</v>
      </c>
      <c r="B18" s="77"/>
      <c r="C18" s="75" t="s">
        <v>97</v>
      </c>
      <c r="D18" s="75">
        <v>5535</v>
      </c>
      <c r="E18" s="78"/>
    </row>
    <row r="19" spans="1:5" ht="18.75" x14ac:dyDescent="0.3">
      <c r="A19" s="73">
        <v>14</v>
      </c>
      <c r="B19" s="74"/>
      <c r="C19" s="74" t="s">
        <v>98</v>
      </c>
      <c r="D19" s="74" t="s">
        <v>99</v>
      </c>
      <c r="E19" s="74"/>
    </row>
    <row r="20" spans="1:5" ht="18.75" x14ac:dyDescent="0.3">
      <c r="A20" s="73">
        <v>15</v>
      </c>
      <c r="B20" s="74"/>
      <c r="C20" s="74" t="s">
        <v>100</v>
      </c>
      <c r="D20" s="74" t="s">
        <v>101</v>
      </c>
      <c r="E20" s="74"/>
    </row>
    <row r="21" spans="1:5" ht="18.75" x14ac:dyDescent="0.3">
      <c r="A21" s="73">
        <v>16</v>
      </c>
      <c r="B21" s="178" t="s">
        <v>102</v>
      </c>
      <c r="C21" s="179"/>
      <c r="D21" s="179"/>
      <c r="E21" s="180"/>
    </row>
    <row r="22" spans="1:5" ht="18.75" x14ac:dyDescent="0.3">
      <c r="A22" s="73">
        <v>17</v>
      </c>
      <c r="B22" s="74" t="s">
        <v>103</v>
      </c>
      <c r="C22" s="74" t="s">
        <v>104</v>
      </c>
      <c r="D22" s="74">
        <v>5812</v>
      </c>
      <c r="E22" s="74"/>
    </row>
    <row r="23" spans="1:5" ht="18.75" x14ac:dyDescent="0.3">
      <c r="A23" s="73">
        <v>18</v>
      </c>
      <c r="B23" s="74" t="s">
        <v>103</v>
      </c>
      <c r="C23" s="74" t="s">
        <v>104</v>
      </c>
      <c r="D23" s="74">
        <v>5813</v>
      </c>
      <c r="E23" s="74"/>
    </row>
    <row r="24" spans="1:5" ht="18.75" x14ac:dyDescent="0.3">
      <c r="A24" s="73">
        <v>19</v>
      </c>
      <c r="B24" s="74" t="s">
        <v>103</v>
      </c>
      <c r="C24" s="74" t="s">
        <v>105</v>
      </c>
      <c r="D24" s="74">
        <v>601</v>
      </c>
      <c r="E24" s="74"/>
    </row>
    <row r="25" spans="1:5" ht="18.75" x14ac:dyDescent="0.3">
      <c r="A25" s="73">
        <v>20</v>
      </c>
      <c r="B25" s="74" t="s">
        <v>103</v>
      </c>
      <c r="C25" s="74" t="s">
        <v>106</v>
      </c>
      <c r="D25" s="74">
        <v>602</v>
      </c>
      <c r="E25" s="74"/>
    </row>
    <row r="26" spans="1:5" ht="18.75" x14ac:dyDescent="0.3">
      <c r="A26" s="73">
        <v>21</v>
      </c>
      <c r="B26" s="74"/>
      <c r="C26" s="74" t="s">
        <v>107</v>
      </c>
      <c r="D26" s="74">
        <v>1811</v>
      </c>
      <c r="E26" s="74"/>
    </row>
    <row r="27" spans="1:5" ht="18.75" x14ac:dyDescent="0.3">
      <c r="A27" s="73">
        <v>22</v>
      </c>
      <c r="B27" s="74"/>
      <c r="C27" s="74" t="s">
        <v>108</v>
      </c>
      <c r="D27" s="74" t="s">
        <v>109</v>
      </c>
      <c r="E27" s="74"/>
    </row>
    <row r="28" spans="1:5" ht="18.75" x14ac:dyDescent="0.3">
      <c r="A28" s="73">
        <v>23</v>
      </c>
      <c r="B28" s="178" t="s">
        <v>110</v>
      </c>
      <c r="C28" s="179"/>
      <c r="D28" s="179"/>
      <c r="E28" s="180"/>
    </row>
    <row r="29" spans="1:5" ht="18.75" x14ac:dyDescent="0.3">
      <c r="A29" s="73">
        <v>24</v>
      </c>
      <c r="B29" s="74"/>
      <c r="C29" s="74" t="s">
        <v>111</v>
      </c>
      <c r="D29" s="74">
        <v>1694</v>
      </c>
      <c r="E29" s="74"/>
    </row>
    <row r="30" spans="1:5" ht="18.75" x14ac:dyDescent="0.3">
      <c r="A30" s="73">
        <v>25</v>
      </c>
      <c r="B30" s="74"/>
      <c r="C30" s="74" t="s">
        <v>111</v>
      </c>
      <c r="D30" s="74">
        <v>7501</v>
      </c>
      <c r="E30" s="74"/>
    </row>
    <row r="31" spans="1:5" ht="18.75" x14ac:dyDescent="0.3">
      <c r="A31" s="73">
        <v>26</v>
      </c>
      <c r="B31" s="74"/>
      <c r="C31" s="74" t="s">
        <v>112</v>
      </c>
      <c r="D31" s="74" t="s">
        <v>113</v>
      </c>
      <c r="E31" s="74"/>
    </row>
    <row r="32" spans="1:5" ht="18.75" x14ac:dyDescent="0.3">
      <c r="A32" s="73">
        <v>27</v>
      </c>
      <c r="B32" s="74"/>
      <c r="C32" s="74" t="s">
        <v>112</v>
      </c>
      <c r="D32" s="74" t="s">
        <v>114</v>
      </c>
      <c r="E32" s="74"/>
    </row>
    <row r="33" spans="1:5" ht="18.75" x14ac:dyDescent="0.3">
      <c r="A33" s="73">
        <v>28</v>
      </c>
      <c r="B33" s="74"/>
      <c r="C33" s="74" t="s">
        <v>112</v>
      </c>
      <c r="D33" s="74">
        <v>2185</v>
      </c>
      <c r="E33" s="74"/>
    </row>
    <row r="34" spans="1:5" ht="18.75" x14ac:dyDescent="0.3">
      <c r="A34" s="73">
        <v>29</v>
      </c>
      <c r="B34" s="74"/>
      <c r="C34" s="74" t="s">
        <v>112</v>
      </c>
      <c r="D34" s="74">
        <v>2188</v>
      </c>
      <c r="E34" s="74"/>
    </row>
    <row r="35" spans="1:5" ht="18.75" x14ac:dyDescent="0.3">
      <c r="A35" s="73">
        <v>30</v>
      </c>
      <c r="B35" s="178" t="s">
        <v>115</v>
      </c>
      <c r="C35" s="179"/>
      <c r="D35" s="179"/>
      <c r="E35" s="180"/>
    </row>
    <row r="36" spans="1:5" ht="18.75" x14ac:dyDescent="0.3">
      <c r="A36" s="73">
        <v>31</v>
      </c>
      <c r="B36" s="74" t="s">
        <v>116</v>
      </c>
      <c r="C36" s="79" t="s">
        <v>117</v>
      </c>
      <c r="D36" s="74"/>
      <c r="E36" s="80" t="s">
        <v>118</v>
      </c>
    </row>
    <row r="37" spans="1:5" ht="18.75" x14ac:dyDescent="0.3">
      <c r="A37" s="73">
        <v>32</v>
      </c>
      <c r="B37" s="81"/>
      <c r="C37" s="82" t="s">
        <v>119</v>
      </c>
      <c r="D37" s="81"/>
      <c r="E37" s="80" t="s">
        <v>118</v>
      </c>
    </row>
    <row r="38" spans="1:5" ht="31.5" x14ac:dyDescent="0.25">
      <c r="B38" s="83" t="s">
        <v>120</v>
      </c>
      <c r="C38" s="74" t="s">
        <v>121</v>
      </c>
      <c r="D38" s="75"/>
      <c r="E38" s="84" t="s">
        <v>122</v>
      </c>
    </row>
  </sheetData>
  <mergeCells count="6">
    <mergeCell ref="B35:E35"/>
    <mergeCell ref="A1:E1"/>
    <mergeCell ref="B3:E3"/>
    <mergeCell ref="B16:E16"/>
    <mergeCell ref="B21:E21"/>
    <mergeCell ref="B28:E28"/>
  </mergeCells>
  <pageMargins left="0.7" right="0.7" top="0.75" bottom="0.75" header="0.3" footer="0.3"/>
  <pageSetup paperSize="9" scale="9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5</vt:i4>
      </vt:variant>
    </vt:vector>
  </HeadingPairs>
  <TitlesOfParts>
    <vt:vector size="11" baseType="lpstr">
      <vt:lpstr>Дробление Май</vt:lpstr>
      <vt:lpstr>Дробление март</vt:lpstr>
      <vt:lpstr>Дробление Август</vt:lpstr>
      <vt:lpstr>Дробление Апрель</vt:lpstr>
      <vt:lpstr>Вывоз материала</vt:lpstr>
      <vt:lpstr>Техника</vt:lpstr>
      <vt:lpstr>'Вывоз материала'!Область_печати</vt:lpstr>
      <vt:lpstr>'Дробление Август'!Область_печати</vt:lpstr>
      <vt:lpstr>'Дробление Апрель'!Область_печати</vt:lpstr>
      <vt:lpstr>'Дробление Май'!Область_печати</vt:lpstr>
      <vt:lpstr>'Дробление март'!Область_печати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Черенев Иван Александрович</dc:creator>
  <cp:lastModifiedBy>Борисов Михаил Петрович</cp:lastModifiedBy>
  <cp:revision>8</cp:revision>
  <dcterms:created xsi:type="dcterms:W3CDTF">2015-06-05T18:19:00Z</dcterms:created>
  <dcterms:modified xsi:type="dcterms:W3CDTF">2026-09-22T23:08:55Z</dcterms:modified>
  <cp:version>1048576</cp:version>
</cp:coreProperties>
</file>