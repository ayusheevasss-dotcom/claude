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M:\PTO\2026\004 Капитальный ремонт Вилюй км1180-км1190 (10 км)\Ежедневная сводка\6-Август\19.08.2026\"/>
    </mc:Choice>
  </mc:AlternateContent>
  <xr:revisionPtr revIDLastSave="0" documentId="13_ncr:1_{84E2705B-F7F4-499B-96A0-FB59583CF4F4}" xr6:coauthVersionLast="36" xr6:coauthVersionMax="36" xr10:uidLastSave="{00000000-0000-0000-0000-000000000000}"/>
  <bookViews>
    <workbookView xWindow="360" yWindow="15" windowWidth="20955" windowHeight="9720" firstSheet="3" activeTab="4" xr2:uid="{00000000-000D-0000-FFFF-FFFF00000000}"/>
  </bookViews>
  <sheets>
    <sheet name="Октябрь" sheetId="1" state="hidden" r:id="rId1"/>
    <sheet name="Ноябрь" sheetId="2" state="hidden" r:id="rId2"/>
    <sheet name="Июнь" sheetId="3" state="hidden" r:id="rId3"/>
    <sheet name="Июль" sheetId="6" r:id="rId4"/>
    <sheet name="Август" sheetId="7" r:id="rId5"/>
    <sheet name="Техника" sheetId="4" state="hidden" r:id="rId6"/>
    <sheet name="Лист1" sheetId="5" state="hidden" r:id="rId7"/>
  </sheets>
  <definedNames>
    <definedName name="Z_15A017F5_936B_48BC_9733_4998313FAAE3_.wvu.Cols" localSheetId="4" hidden="1">Август!$A:$A</definedName>
    <definedName name="Z_15A017F5_936B_48BC_9733_4998313FAAE3_.wvu.Cols" localSheetId="3" hidden="1">Июль!$A:$A</definedName>
    <definedName name="Z_15A017F5_936B_48BC_9733_4998313FAAE3_.wvu.Cols" localSheetId="2" hidden="1">Июнь!$A:$A</definedName>
    <definedName name="Z_15A017F5_936B_48BC_9733_4998313FAAE3_.wvu.Cols" localSheetId="1" hidden="1">Ноябрь!$A:$A</definedName>
    <definedName name="Z_15A017F5_936B_48BC_9733_4998313FAAE3_.wvu.Cols" localSheetId="0" hidden="1">Октябрь!$A:$A</definedName>
    <definedName name="Z_15A017F5_936B_48BC_9733_4998313FAAE3_.wvu.Rows" localSheetId="4" hidden="1">Август!#REF!,Август!#REF!</definedName>
    <definedName name="Z_15A017F5_936B_48BC_9733_4998313FAAE3_.wvu.Rows" localSheetId="3" hidden="1">Июль!#REF!,Июль!#REF!</definedName>
    <definedName name="Z_15A017F5_936B_48BC_9733_4998313FAAE3_.wvu.Rows" localSheetId="2" hidden="1">Июнь!#REF!,Июнь!#REF!</definedName>
    <definedName name="Z_15A017F5_936B_48BC_9733_4998313FAAE3_.wvu.Rows" localSheetId="1" hidden="1">Ноябрь!#REF!,Ноябрь!#REF!</definedName>
    <definedName name="Z_15A017F5_936B_48BC_9733_4998313FAAE3_.wvu.Rows" localSheetId="0" hidden="1">Октябрь!#REF!,Октябрь!#REF!</definedName>
  </definedNames>
  <calcPr calcId="191029"/>
</workbook>
</file>

<file path=xl/calcChain.xml><?xml version="1.0" encoding="utf-8"?>
<calcChain xmlns="http://schemas.openxmlformats.org/spreadsheetml/2006/main">
  <c r="V28" i="7" l="1"/>
  <c r="V19" i="7"/>
  <c r="AJ50" i="7" l="1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AL49" i="7"/>
  <c r="AL50" i="7" s="1"/>
  <c r="AL47" i="7"/>
  <c r="AK47" i="7"/>
  <c r="E48" i="7" s="1"/>
  <c r="AL45" i="7"/>
  <c r="AK45" i="7"/>
  <c r="AK49" i="7" s="1"/>
  <c r="AM49" i="7" s="1"/>
  <c r="E46" i="7" l="1"/>
  <c r="E50" i="7"/>
  <c r="AK50" i="7"/>
  <c r="AM50" i="7" s="1"/>
  <c r="AM45" i="7"/>
  <c r="AM47" i="7"/>
  <c r="AJ96" i="7"/>
  <c r="AI96" i="7"/>
  <c r="AH96" i="7"/>
  <c r="AG96" i="7"/>
  <c r="AF96" i="7"/>
  <c r="AE96" i="7"/>
  <c r="AD96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AL93" i="7"/>
  <c r="AL95" i="7" s="1"/>
  <c r="AL96" i="7" s="1"/>
  <c r="AK93" i="7"/>
  <c r="E94" i="7" s="1"/>
  <c r="AK91" i="7"/>
  <c r="E92" i="7" s="1"/>
  <c r="AL91" i="7"/>
  <c r="AJ86" i="7"/>
  <c r="AI86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AK85" i="7"/>
  <c r="E84" i="7"/>
  <c r="AL83" i="7"/>
  <c r="AL85" i="7" s="1"/>
  <c r="AL86" i="7" s="1"/>
  <c r="AK83" i="7"/>
  <c r="AL81" i="7"/>
  <c r="AK81" i="7"/>
  <c r="E82" i="7" s="1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5" i="7"/>
  <c r="AL74" i="7"/>
  <c r="AL76" i="7" s="1"/>
  <c r="AL77" i="7" s="1"/>
  <c r="AK74" i="7"/>
  <c r="AL72" i="7"/>
  <c r="AK72" i="7"/>
  <c r="AK76" i="7" s="1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AL65" i="7"/>
  <c r="AK65" i="7"/>
  <c r="E66" i="7" s="1"/>
  <c r="AL63" i="7"/>
  <c r="AK63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AL56" i="7"/>
  <c r="AK56" i="7"/>
  <c r="E57" i="7" s="1"/>
  <c r="AL54" i="7"/>
  <c r="AK54" i="7"/>
  <c r="E55" i="7" s="1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AL40" i="7"/>
  <c r="AL41" i="7" s="1"/>
  <c r="AL38" i="7"/>
  <c r="AK38" i="7"/>
  <c r="E39" i="7" s="1"/>
  <c r="AL36" i="7"/>
  <c r="AK36" i="7"/>
  <c r="E37" i="7" s="1"/>
  <c r="AJ32" i="7"/>
  <c r="AI32" i="7"/>
  <c r="AH32" i="7"/>
  <c r="AF32" i="7"/>
  <c r="AE32" i="7"/>
  <c r="AC32" i="7"/>
  <c r="AB32" i="7"/>
  <c r="AA32" i="7"/>
  <c r="Z32" i="7"/>
  <c r="Y32" i="7"/>
  <c r="X32" i="7"/>
  <c r="V32" i="7"/>
  <c r="T32" i="7"/>
  <c r="S32" i="7"/>
  <c r="R32" i="7"/>
  <c r="Q32" i="7"/>
  <c r="P32" i="7"/>
  <c r="O32" i="7"/>
  <c r="N32" i="7"/>
  <c r="M32" i="7"/>
  <c r="L32" i="7"/>
  <c r="J32" i="7"/>
  <c r="I32" i="7"/>
  <c r="H32" i="7"/>
  <c r="G32" i="7"/>
  <c r="F32" i="7"/>
  <c r="AG32" i="7"/>
  <c r="U32" i="7"/>
  <c r="AK29" i="7"/>
  <c r="E30" i="7" s="1"/>
  <c r="AL29" i="7"/>
  <c r="AD32" i="7"/>
  <c r="W32" i="7"/>
  <c r="AL27" i="7"/>
  <c r="AL31" i="7" s="1"/>
  <c r="AL32" i="7" s="1"/>
  <c r="AK27" i="7"/>
  <c r="E28" i="7" s="1"/>
  <c r="AJ23" i="7"/>
  <c r="AI23" i="7"/>
  <c r="AH23" i="7"/>
  <c r="AG23" i="7"/>
  <c r="AF23" i="7"/>
  <c r="AE23" i="7"/>
  <c r="AD23" i="7"/>
  <c r="AC23" i="7"/>
  <c r="AB23" i="7"/>
  <c r="Z23" i="7"/>
  <c r="Y23" i="7"/>
  <c r="X23" i="7"/>
  <c r="W23" i="7"/>
  <c r="V23" i="7"/>
  <c r="U23" i="7"/>
  <c r="T23" i="7"/>
  <c r="S23" i="7"/>
  <c r="R23" i="7"/>
  <c r="Q23" i="7"/>
  <c r="P23" i="7"/>
  <c r="N23" i="7"/>
  <c r="L23" i="7"/>
  <c r="J23" i="7"/>
  <c r="I23" i="7"/>
  <c r="H23" i="7"/>
  <c r="G23" i="7"/>
  <c r="F23" i="7"/>
  <c r="AA23" i="7"/>
  <c r="O23" i="7"/>
  <c r="M23" i="7"/>
  <c r="K23" i="7"/>
  <c r="AL20" i="7"/>
  <c r="AL18" i="7"/>
  <c r="AL22" i="7" s="1"/>
  <c r="AL23" i="7" s="1"/>
  <c r="AK18" i="7"/>
  <c r="AM18" i="7" s="1"/>
  <c r="AJ14" i="7"/>
  <c r="AI14" i="7"/>
  <c r="AH14" i="7"/>
  <c r="AG14" i="7"/>
  <c r="AE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AL11" i="7"/>
  <c r="AK11" i="7"/>
  <c r="AF14" i="7"/>
  <c r="AD14" i="7"/>
  <c r="AL9" i="7"/>
  <c r="AK86" i="7" l="1"/>
  <c r="E86" i="7" s="1"/>
  <c r="AK77" i="7"/>
  <c r="AK58" i="7"/>
  <c r="AM11" i="7"/>
  <c r="AM76" i="7"/>
  <c r="AK59" i="7"/>
  <c r="AM93" i="7"/>
  <c r="AM54" i="7"/>
  <c r="AM38" i="7"/>
  <c r="AL67" i="7"/>
  <c r="AL68" i="7" s="1"/>
  <c r="AM81" i="7"/>
  <c r="AL13" i="7"/>
  <c r="AL14" i="7" s="1"/>
  <c r="E59" i="7"/>
  <c r="AM83" i="7"/>
  <c r="AK41" i="7"/>
  <c r="AM41" i="7" s="1"/>
  <c r="AK96" i="7"/>
  <c r="E96" i="7" s="1"/>
  <c r="AK67" i="7"/>
  <c r="AK68" i="7"/>
  <c r="AM68" i="7" s="1"/>
  <c r="E64" i="7"/>
  <c r="E68" i="7" s="1"/>
  <c r="E41" i="7"/>
  <c r="E19" i="7"/>
  <c r="E12" i="7"/>
  <c r="E32" i="7"/>
  <c r="AM29" i="7"/>
  <c r="AM91" i="7"/>
  <c r="AK95" i="7"/>
  <c r="AM95" i="7" s="1"/>
  <c r="AK31" i="7"/>
  <c r="AM31" i="7" s="1"/>
  <c r="AK14" i="7"/>
  <c r="AK23" i="7"/>
  <c r="AM23" i="7" s="1"/>
  <c r="AM77" i="7"/>
  <c r="AM85" i="7"/>
  <c r="AK20" i="7"/>
  <c r="E21" i="7" s="1"/>
  <c r="K32" i="7"/>
  <c r="AK32" i="7" s="1"/>
  <c r="AM32" i="7" s="1"/>
  <c r="AL58" i="7"/>
  <c r="AL59" i="7" s="1"/>
  <c r="AM27" i="7"/>
  <c r="AK40" i="7"/>
  <c r="AM40" i="7" s="1"/>
  <c r="AM72" i="7"/>
  <c r="E73" i="7"/>
  <c r="E77" i="7" s="1"/>
  <c r="AM63" i="7"/>
  <c r="AM74" i="7"/>
  <c r="AK9" i="7"/>
  <c r="E10" i="7" s="1"/>
  <c r="AM86" i="7"/>
  <c r="AM36" i="7"/>
  <c r="AM65" i="7"/>
  <c r="AM56" i="7"/>
  <c r="E39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AL38" i="6"/>
  <c r="AK38" i="6"/>
  <c r="AM38" i="6" s="1"/>
  <c r="AL36" i="6"/>
  <c r="AL40" i="6" s="1"/>
  <c r="AL41" i="6" s="1"/>
  <c r="AK36" i="6"/>
  <c r="AM36" i="6" s="1"/>
  <c r="AM14" i="7" l="1"/>
  <c r="AM67" i="7"/>
  <c r="AM59" i="7"/>
  <c r="AM96" i="7"/>
  <c r="AK22" i="7"/>
  <c r="AM22" i="7" s="1"/>
  <c r="AM20" i="7"/>
  <c r="E23" i="7"/>
  <c r="E14" i="7"/>
  <c r="AM9" i="7"/>
  <c r="AK13" i="7"/>
  <c r="AM13" i="7" s="1"/>
  <c r="AM58" i="7"/>
  <c r="AK41" i="6"/>
  <c r="E37" i="6"/>
  <c r="E41" i="6" s="1"/>
  <c r="AM41" i="6"/>
  <c r="AK40" i="6"/>
  <c r="AM40" i="6" s="1"/>
  <c r="AG30" i="6"/>
  <c r="AF10" i="6" l="1"/>
  <c r="AE21" i="6" l="1"/>
  <c r="AE10" i="6"/>
  <c r="AE28" i="6"/>
  <c r="AD10" i="6" l="1"/>
  <c r="AD28" i="6"/>
  <c r="AA21" i="6" l="1"/>
  <c r="X10" i="6" l="1"/>
  <c r="U30" i="6" l="1"/>
  <c r="V28" i="6"/>
  <c r="V30" i="6"/>
  <c r="W28" i="6"/>
  <c r="O21" i="6" l="1"/>
  <c r="M21" i="6" l="1"/>
  <c r="K21" i="6" l="1"/>
  <c r="K30" i="6"/>
  <c r="K102" i="6"/>
  <c r="K98" i="6"/>
  <c r="K91" i="6"/>
  <c r="K92" i="6"/>
  <c r="K89" i="6"/>
  <c r="K83" i="6"/>
  <c r="AJ87" i="6" l="1"/>
  <c r="AI87" i="6"/>
  <c r="AH87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AL84" i="6"/>
  <c r="AK84" i="6"/>
  <c r="E85" i="6" s="1"/>
  <c r="AG87" i="6"/>
  <c r="AL82" i="6"/>
  <c r="AK82" i="6"/>
  <c r="E83" i="6" s="1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AL29" i="6"/>
  <c r="AL31" i="6" s="1"/>
  <c r="AL32" i="6" s="1"/>
  <c r="AK29" i="6"/>
  <c r="E30" i="6" s="1"/>
  <c r="AL27" i="6"/>
  <c r="AK27" i="6"/>
  <c r="E28" i="6" s="1"/>
  <c r="AJ77" i="6"/>
  <c r="AI77" i="6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AL74" i="6"/>
  <c r="AK74" i="6"/>
  <c r="E75" i="6" s="1"/>
  <c r="E73" i="6"/>
  <c r="AL72" i="6"/>
  <c r="AK72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AL65" i="6"/>
  <c r="AK65" i="6"/>
  <c r="E66" i="6" s="1"/>
  <c r="E64" i="6"/>
  <c r="AL63" i="6"/>
  <c r="AM63" i="6" s="1"/>
  <c r="AK63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AL56" i="6"/>
  <c r="AK56" i="6"/>
  <c r="E57" i="6" s="1"/>
  <c r="AL54" i="6"/>
  <c r="AL58" i="6" s="1"/>
  <c r="AL59" i="6" s="1"/>
  <c r="AK54" i="6"/>
  <c r="AM54" i="6" s="1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AL47" i="6"/>
  <c r="AK47" i="6"/>
  <c r="E48" i="6" s="1"/>
  <c r="AL45" i="6"/>
  <c r="AL49" i="6" s="1"/>
  <c r="AL50" i="6" s="1"/>
  <c r="AK45" i="6"/>
  <c r="AK49" i="6" s="1"/>
  <c r="AJ23" i="6"/>
  <c r="AI23" i="6"/>
  <c r="AH23" i="6"/>
  <c r="AG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AF23" i="6"/>
  <c r="AL20" i="6"/>
  <c r="AL18" i="6"/>
  <c r="AL22" i="6" s="1"/>
  <c r="AL23" i="6" s="1"/>
  <c r="AK18" i="6"/>
  <c r="E19" i="6" s="1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AL11" i="6"/>
  <c r="AK11" i="6"/>
  <c r="E12" i="6" s="1"/>
  <c r="AL9" i="6"/>
  <c r="AK9" i="6"/>
  <c r="AM72" i="6" l="1"/>
  <c r="AL86" i="6"/>
  <c r="AL87" i="6" s="1"/>
  <c r="AL13" i="6"/>
  <c r="AL14" i="6" s="1"/>
  <c r="E32" i="6"/>
  <c r="AM49" i="6"/>
  <c r="AK68" i="6"/>
  <c r="AK77" i="6"/>
  <c r="E77" i="6" s="1"/>
  <c r="AK50" i="6"/>
  <c r="AM50" i="6" s="1"/>
  <c r="AK59" i="6"/>
  <c r="AM59" i="6" s="1"/>
  <c r="AK87" i="6"/>
  <c r="AM87" i="6" s="1"/>
  <c r="AK86" i="6"/>
  <c r="AM86" i="6" s="1"/>
  <c r="AK32" i="6"/>
  <c r="AM32" i="6" s="1"/>
  <c r="AK31" i="6"/>
  <c r="AM31" i="6" s="1"/>
  <c r="AK23" i="6"/>
  <c r="AM23" i="6" s="1"/>
  <c r="AM11" i="6"/>
  <c r="AK14" i="6"/>
  <c r="AM14" i="6" s="1"/>
  <c r="AK13" i="6"/>
  <c r="AM13" i="6" s="1"/>
  <c r="E10" i="6"/>
  <c r="E14" i="6" s="1"/>
  <c r="E68" i="6"/>
  <c r="AM29" i="6"/>
  <c r="AM74" i="6"/>
  <c r="E55" i="6"/>
  <c r="E59" i="6" s="1"/>
  <c r="AM18" i="6"/>
  <c r="AM65" i="6"/>
  <c r="AM9" i="6"/>
  <c r="E46" i="6"/>
  <c r="E50" i="6" s="1"/>
  <c r="AL76" i="6"/>
  <c r="AL77" i="6" s="1"/>
  <c r="AK20" i="6"/>
  <c r="E21" i="6" s="1"/>
  <c r="E23" i="6" s="1"/>
  <c r="AM56" i="6"/>
  <c r="AK67" i="6"/>
  <c r="AL67" i="6"/>
  <c r="AL68" i="6" s="1"/>
  <c r="AM68" i="6" s="1"/>
  <c r="AM82" i="6"/>
  <c r="AM47" i="6"/>
  <c r="AK58" i="6"/>
  <c r="AM58" i="6" s="1"/>
  <c r="AM27" i="6"/>
  <c r="AM84" i="6"/>
  <c r="AK76" i="6"/>
  <c r="AM45" i="6"/>
  <c r="AG74" i="3"/>
  <c r="AG83" i="3"/>
  <c r="AG89" i="3"/>
  <c r="AM77" i="6" l="1"/>
  <c r="E87" i="6"/>
  <c r="AM20" i="6"/>
  <c r="AK22" i="6"/>
  <c r="AM22" i="6" s="1"/>
  <c r="AM67" i="6"/>
  <c r="AM76" i="6"/>
  <c r="AF21" i="3"/>
  <c r="AC21" i="3" l="1"/>
  <c r="AB64" i="3" l="1"/>
  <c r="R80" i="3" l="1"/>
  <c r="R89" i="3"/>
  <c r="M10" i="3" l="1"/>
  <c r="AJ41" i="3" l="1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AL38" i="3"/>
  <c r="AK38" i="3"/>
  <c r="E39" i="3" s="1"/>
  <c r="AL36" i="3"/>
  <c r="AK36" i="3"/>
  <c r="E37" i="3" s="1"/>
  <c r="AM36" i="3" l="1"/>
  <c r="E41" i="3"/>
  <c r="AK40" i="3"/>
  <c r="AM38" i="3"/>
  <c r="AL40" i="3"/>
  <c r="AK41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AL20" i="3"/>
  <c r="AK20" i="3"/>
  <c r="E21" i="3" s="1"/>
  <c r="AL18" i="3"/>
  <c r="AL22" i="3" s="1"/>
  <c r="AL23" i="3" s="1"/>
  <c r="AK18" i="3"/>
  <c r="E19" i="3" s="1"/>
  <c r="AL41" i="3" l="1"/>
  <c r="AM41" i="3" s="1"/>
  <c r="AM40" i="3"/>
  <c r="AK23" i="3"/>
  <c r="AM23" i="3" s="1"/>
  <c r="E23" i="3"/>
  <c r="AM20" i="3"/>
  <c r="AM18" i="3"/>
  <c r="AK22" i="3"/>
  <c r="AM22" i="3" s="1"/>
  <c r="C25" i="5" l="1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L78" i="3"/>
  <c r="K78" i="3"/>
  <c r="J78" i="3"/>
  <c r="I78" i="3"/>
  <c r="H78" i="3"/>
  <c r="G78" i="3"/>
  <c r="F78" i="3"/>
  <c r="M78" i="3"/>
  <c r="AL75" i="3"/>
  <c r="AK75" i="3"/>
  <c r="E76" i="3" s="1"/>
  <c r="AL73" i="3"/>
  <c r="AL77" i="3" s="1"/>
  <c r="AL78" i="3" s="1"/>
  <c r="AK73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AL65" i="3"/>
  <c r="AK65" i="3"/>
  <c r="E66" i="3" s="1"/>
  <c r="AL63" i="3"/>
  <c r="AL67" i="3" s="1"/>
  <c r="AL68" i="3" s="1"/>
  <c r="AK63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AK59" i="3" s="1"/>
  <c r="AL56" i="3"/>
  <c r="AK56" i="3"/>
  <c r="AL54" i="3"/>
  <c r="AL58" i="3" s="1"/>
  <c r="AL59" i="3" s="1"/>
  <c r="AK54" i="3"/>
  <c r="AL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AL49" i="3"/>
  <c r="AK49" i="3"/>
  <c r="AM49" i="3" s="1"/>
  <c r="AM47" i="3"/>
  <c r="AL47" i="3"/>
  <c r="AK47" i="3"/>
  <c r="E48" i="3" s="1"/>
  <c r="E46" i="3"/>
  <c r="AL45" i="3"/>
  <c r="AK45" i="3"/>
  <c r="AM45" i="3" s="1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AL29" i="3"/>
  <c r="AK29" i="3"/>
  <c r="AL27" i="3"/>
  <c r="AL31" i="3" s="1"/>
  <c r="AL32" i="3" s="1"/>
  <c r="AK27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L14" i="3"/>
  <c r="K14" i="3"/>
  <c r="J14" i="3"/>
  <c r="I14" i="3"/>
  <c r="G14" i="3"/>
  <c r="O14" i="3"/>
  <c r="N14" i="3"/>
  <c r="M14" i="3"/>
  <c r="H14" i="3"/>
  <c r="AL11" i="3"/>
  <c r="P14" i="3"/>
  <c r="AK9" i="3"/>
  <c r="E10" i="3" s="1"/>
  <c r="AL9" i="3"/>
  <c r="AL13" i="3" s="1"/>
  <c r="AL14" i="3" s="1"/>
  <c r="AJ51" i="2"/>
  <c r="AI51" i="2"/>
  <c r="AH51" i="2"/>
  <c r="AG51" i="2"/>
  <c r="AF51" i="2"/>
  <c r="AE51" i="2"/>
  <c r="AD51" i="2"/>
  <c r="AC51" i="2"/>
  <c r="T51" i="2"/>
  <c r="S51" i="2"/>
  <c r="R51" i="2"/>
  <c r="Q51" i="2"/>
  <c r="O51" i="2"/>
  <c r="N51" i="2"/>
  <c r="L51" i="2"/>
  <c r="H51" i="2"/>
  <c r="F51" i="2"/>
  <c r="AL48" i="2"/>
  <c r="AL50" i="2" s="1"/>
  <c r="AL51" i="2" s="1"/>
  <c r="AK48" i="2"/>
  <c r="AB47" i="2"/>
  <c r="AB51" i="2" s="1"/>
  <c r="AA47" i="2"/>
  <c r="AA51" i="2" s="1"/>
  <c r="Z47" i="2"/>
  <c r="Z51" i="2" s="1"/>
  <c r="Y47" i="2"/>
  <c r="Y51" i="2" s="1"/>
  <c r="X47" i="2"/>
  <c r="X51" i="2" s="1"/>
  <c r="W47" i="2"/>
  <c r="W51" i="2" s="1"/>
  <c r="V47" i="2"/>
  <c r="V51" i="2" s="1"/>
  <c r="U47" i="2"/>
  <c r="U51" i="2" s="1"/>
  <c r="R47" i="2"/>
  <c r="Q47" i="2"/>
  <c r="P47" i="2"/>
  <c r="P51" i="2" s="1"/>
  <c r="O47" i="2"/>
  <c r="M47" i="2"/>
  <c r="M51" i="2" s="1"/>
  <c r="L47" i="2"/>
  <c r="K47" i="2"/>
  <c r="K51" i="2" s="1"/>
  <c r="J47" i="2"/>
  <c r="J51" i="2" s="1"/>
  <c r="I47" i="2"/>
  <c r="I51" i="2" s="1"/>
  <c r="G47" i="2"/>
  <c r="AK46" i="2" s="1"/>
  <c r="AL46" i="2"/>
  <c r="M45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S41" i="2"/>
  <c r="Q41" i="2"/>
  <c r="P41" i="2"/>
  <c r="O41" i="2"/>
  <c r="N41" i="2"/>
  <c r="M41" i="2"/>
  <c r="L41" i="2"/>
  <c r="K41" i="2"/>
  <c r="J41" i="2"/>
  <c r="I41" i="2"/>
  <c r="H41" i="2"/>
  <c r="G41" i="2"/>
  <c r="F41" i="2"/>
  <c r="AL38" i="2"/>
  <c r="AK38" i="2"/>
  <c r="E39" i="2" s="1"/>
  <c r="T37" i="2"/>
  <c r="T41" i="2" s="1"/>
  <c r="S37" i="2"/>
  <c r="R37" i="2"/>
  <c r="R41" i="2" s="1"/>
  <c r="AL36" i="2"/>
  <c r="AL40" i="2" s="1"/>
  <c r="AL41" i="2" s="1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F32" i="2"/>
  <c r="H30" i="2"/>
  <c r="AK29" i="2" s="1"/>
  <c r="AL29" i="2"/>
  <c r="G28" i="2"/>
  <c r="G32" i="2" s="1"/>
  <c r="AL27" i="2"/>
  <c r="AL31" i="2" s="1"/>
  <c r="AL32" i="2" s="1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AK23" i="2" s="1"/>
  <c r="I23" i="2"/>
  <c r="H23" i="2"/>
  <c r="G23" i="2"/>
  <c r="F23" i="2"/>
  <c r="AL20" i="2"/>
  <c r="AK20" i="2"/>
  <c r="AM20" i="2" s="1"/>
  <c r="AM18" i="2"/>
  <c r="AL18" i="2"/>
  <c r="AL22" i="2" s="1"/>
  <c r="AL23" i="2" s="1"/>
  <c r="AK18" i="2"/>
  <c r="E19" i="2" s="1"/>
  <c r="AJ14" i="2"/>
  <c r="AI14" i="2"/>
  <c r="AH14" i="2"/>
  <c r="AG14" i="2"/>
  <c r="AF14" i="2"/>
  <c r="AE14" i="2"/>
  <c r="AD14" i="2"/>
  <c r="AC14" i="2"/>
  <c r="AA14" i="2"/>
  <c r="V14" i="2"/>
  <c r="U14" i="2"/>
  <c r="T14" i="2"/>
  <c r="S14" i="2"/>
  <c r="O14" i="2"/>
  <c r="K14" i="2"/>
  <c r="J14" i="2"/>
  <c r="I14" i="2"/>
  <c r="H14" i="2"/>
  <c r="AL13" i="2"/>
  <c r="AL14" i="2" s="1"/>
  <c r="AA12" i="2"/>
  <c r="Y12" i="2"/>
  <c r="Y14" i="2" s="1"/>
  <c r="X12" i="2"/>
  <c r="X14" i="2" s="1"/>
  <c r="W12" i="2"/>
  <c r="W14" i="2" s="1"/>
  <c r="R12" i="2"/>
  <c r="R14" i="2" s="1"/>
  <c r="Q12" i="2"/>
  <c r="Q14" i="2" s="1"/>
  <c r="P12" i="2"/>
  <c r="P14" i="2" s="1"/>
  <c r="O12" i="2"/>
  <c r="N12" i="2"/>
  <c r="N14" i="2" s="1"/>
  <c r="M12" i="2"/>
  <c r="M14" i="2" s="1"/>
  <c r="L12" i="2"/>
  <c r="L14" i="2" s="1"/>
  <c r="K12" i="2"/>
  <c r="J12" i="2"/>
  <c r="I12" i="2"/>
  <c r="H12" i="2"/>
  <c r="G12" i="2"/>
  <c r="G14" i="2" s="1"/>
  <c r="AL11" i="2"/>
  <c r="AB10" i="2"/>
  <c r="AB14" i="2" s="1"/>
  <c r="AA10" i="2"/>
  <c r="Z10" i="2"/>
  <c r="Z14" i="2" s="1"/>
  <c r="Y10" i="2"/>
  <c r="X10" i="2"/>
  <c r="W10" i="2"/>
  <c r="V10" i="2"/>
  <c r="U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F14" i="2" s="1"/>
  <c r="AL9" i="2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AK41" i="1" s="1"/>
  <c r="AL38" i="1"/>
  <c r="AK38" i="1"/>
  <c r="AM38" i="1" s="1"/>
  <c r="AL36" i="1"/>
  <c r="AL40" i="1" s="1"/>
  <c r="AL41" i="1" s="1"/>
  <c r="AK36" i="1"/>
  <c r="AK40" i="1" s="1"/>
  <c r="AM40" i="1" s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AK32" i="1" s="1"/>
  <c r="AL31" i="1"/>
  <c r="AL32" i="1" s="1"/>
  <c r="AM29" i="1"/>
  <c r="AL29" i="1"/>
  <c r="AK29" i="1"/>
  <c r="AM27" i="1"/>
  <c r="AL27" i="1"/>
  <c r="AK27" i="1"/>
  <c r="AK31" i="1" s="1"/>
  <c r="AM31" i="1" s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AK23" i="1" s="1"/>
  <c r="AM23" i="1" s="1"/>
  <c r="J23" i="1"/>
  <c r="I23" i="1"/>
  <c r="H23" i="1"/>
  <c r="G23" i="1"/>
  <c r="F23" i="1"/>
  <c r="AL20" i="1"/>
  <c r="AK20" i="1"/>
  <c r="AM20" i="1" s="1"/>
  <c r="AM18" i="1"/>
  <c r="AL18" i="1"/>
  <c r="AL22" i="1" s="1"/>
  <c r="AL23" i="1" s="1"/>
  <c r="AK18" i="1"/>
  <c r="AK22" i="1" s="1"/>
  <c r="AM22" i="1" s="1"/>
  <c r="AJ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AM11" i="1"/>
  <c r="AL11" i="1"/>
  <c r="AL13" i="1" s="1"/>
  <c r="AL14" i="1" s="1"/>
  <c r="AK11" i="1"/>
  <c r="AI10" i="1"/>
  <c r="AI14" i="1" s="1"/>
  <c r="AH10" i="1"/>
  <c r="AH14" i="1" s="1"/>
  <c r="AG10" i="1"/>
  <c r="AG14" i="1" s="1"/>
  <c r="AF10" i="1"/>
  <c r="AF14" i="1" s="1"/>
  <c r="AE10" i="1"/>
  <c r="AE14" i="1" s="1"/>
  <c r="AD10" i="1"/>
  <c r="AD14" i="1" s="1"/>
  <c r="AC10" i="1"/>
  <c r="AC14" i="1" s="1"/>
  <c r="AB10" i="1"/>
  <c r="AB14" i="1" s="1"/>
  <c r="AA10" i="1"/>
  <c r="AA14" i="1" s="1"/>
  <c r="Z10" i="1"/>
  <c r="Z14" i="1" s="1"/>
  <c r="AL9" i="1"/>
  <c r="AK67" i="3" l="1"/>
  <c r="AM67" i="3" s="1"/>
  <c r="AK68" i="3"/>
  <c r="E68" i="3" s="1"/>
  <c r="AM73" i="3"/>
  <c r="E74" i="3"/>
  <c r="AM56" i="3"/>
  <c r="E57" i="3"/>
  <c r="AK58" i="3"/>
  <c r="AM58" i="3" s="1"/>
  <c r="E55" i="3"/>
  <c r="E50" i="3"/>
  <c r="AM29" i="3"/>
  <c r="E30" i="3"/>
  <c r="AM27" i="3"/>
  <c r="E28" i="3"/>
  <c r="AK32" i="3"/>
  <c r="AM32" i="3" s="1"/>
  <c r="AK50" i="3"/>
  <c r="AM50" i="3" s="1"/>
  <c r="AK31" i="3"/>
  <c r="AM31" i="3" s="1"/>
  <c r="AM9" i="3"/>
  <c r="AK14" i="1"/>
  <c r="AM14" i="1" s="1"/>
  <c r="AK41" i="2"/>
  <c r="E41" i="1"/>
  <c r="AM41" i="1"/>
  <c r="E32" i="1"/>
  <c r="AM32" i="1"/>
  <c r="AM59" i="3"/>
  <c r="E59" i="3"/>
  <c r="AK14" i="2"/>
  <c r="AM14" i="2" s="1"/>
  <c r="AM23" i="2"/>
  <c r="AK78" i="3"/>
  <c r="AM29" i="2"/>
  <c r="E30" i="2"/>
  <c r="E47" i="2"/>
  <c r="AM46" i="2"/>
  <c r="AK50" i="2"/>
  <c r="AM50" i="2" s="1"/>
  <c r="E64" i="3"/>
  <c r="AM75" i="3"/>
  <c r="G51" i="2"/>
  <c r="AK51" i="2" s="1"/>
  <c r="AM36" i="1"/>
  <c r="E21" i="2"/>
  <c r="E23" i="2" s="1"/>
  <c r="AM38" i="2"/>
  <c r="AK22" i="2"/>
  <c r="AM22" i="2" s="1"/>
  <c r="AM54" i="3"/>
  <c r="AK9" i="1"/>
  <c r="AM63" i="3"/>
  <c r="AK27" i="2"/>
  <c r="AK36" i="2"/>
  <c r="AM65" i="3"/>
  <c r="AK77" i="3"/>
  <c r="AM77" i="3" s="1"/>
  <c r="AM48" i="2"/>
  <c r="F14" i="3"/>
  <c r="AK14" i="3" s="1"/>
  <c r="AM14" i="3" s="1"/>
  <c r="AK11" i="3"/>
  <c r="E12" i="3" s="1"/>
  <c r="AK9" i="2"/>
  <c r="AK11" i="2"/>
  <c r="H32" i="2"/>
  <c r="AK32" i="2" s="1"/>
  <c r="AM68" i="3" l="1"/>
  <c r="E32" i="3"/>
  <c r="E32" i="2"/>
  <c r="AM32" i="2"/>
  <c r="AM51" i="2"/>
  <c r="E51" i="2"/>
  <c r="E78" i="3"/>
  <c r="AM78" i="3"/>
  <c r="AM9" i="1"/>
  <c r="AK13" i="1"/>
  <c r="AM13" i="1" s="1"/>
  <c r="E41" i="2"/>
  <c r="AM41" i="2"/>
  <c r="AM11" i="2"/>
  <c r="E12" i="2"/>
  <c r="AM9" i="2"/>
  <c r="E10" i="2"/>
  <c r="AK13" i="2"/>
  <c r="AM13" i="2" s="1"/>
  <c r="E14" i="3"/>
  <c r="AM11" i="3"/>
  <c r="E37" i="2"/>
  <c r="AM36" i="2"/>
  <c r="AK40" i="2"/>
  <c r="AM40" i="2" s="1"/>
  <c r="AK13" i="3"/>
  <c r="AM13" i="3" s="1"/>
  <c r="E28" i="2"/>
  <c r="AM27" i="2"/>
  <c r="AK31" i="2"/>
  <c r="AM31" i="2" s="1"/>
  <c r="E14" i="2" l="1"/>
</calcChain>
</file>

<file path=xl/sharedStrings.xml><?xml version="1.0" encoding="utf-8"?>
<sst xmlns="http://schemas.openxmlformats.org/spreadsheetml/2006/main" count="928" uniqueCount="99">
  <si>
    <t>по состоянию на 31.10.2025 г.</t>
  </si>
  <si>
    <t>«Капитальный ремонт автомобильной дороги А-331 «Вилюй» Тулун – Братск – Усть-Кут – Мирный – Якутск на участке км 1152+546 – км 1170+000, Республика Саха (Якутия)».</t>
  </si>
  <si>
    <t xml:space="preserve">«Капитальный ремонт автомобильной дороги А-331 «Вилюй» Тулун – Братск – Усть-Кут – Мирный - Якутск на участке км 1180+000 – км 1190+000, Республика Саха (Якутия)»   </t>
  </si>
  <si>
    <t>Месяц</t>
  </si>
  <si>
    <t>ВСЕГО</t>
  </si>
  <si>
    <t>Октябрь</t>
  </si>
  <si>
    <t>дни</t>
  </si>
  <si>
    <t>Объем работ месяц</t>
  </si>
  <si>
    <t>дни недели</t>
  </si>
  <si>
    <t>ПТ</t>
  </si>
  <si>
    <t>СБ</t>
  </si>
  <si>
    <t>ВС</t>
  </si>
  <si>
    <t>ПН</t>
  </si>
  <si>
    <t>ВТ</t>
  </si>
  <si>
    <t>СР</t>
  </si>
  <si>
    <t>ЧТ</t>
  </si>
  <si>
    <t>факт</t>
  </si>
  <si>
    <t>план</t>
  </si>
  <si>
    <t>%</t>
  </si>
  <si>
    <t xml:space="preserve">Накопительная сводка по устройству земляного полотна </t>
  </si>
  <si>
    <t>Адрес</t>
  </si>
  <si>
    <t>1 смена</t>
  </si>
  <si>
    <t>м3</t>
  </si>
  <si>
    <t>2 смена</t>
  </si>
  <si>
    <t>Всего</t>
  </si>
  <si>
    <t>план
(накоп)</t>
  </si>
  <si>
    <t>факт
(накоп)</t>
  </si>
  <si>
    <t>Остаток</t>
  </si>
  <si>
    <t>Накопительная сводка по вывозу ЩПС 0/63 с АБЗ на накопитель а/д "Вилюй" км1182</t>
  </si>
  <si>
    <t>Накопительная сводка по вывозу с карьера "км 179" на накопитель "Отвал №10"</t>
  </si>
  <si>
    <t>Накопительная сводка по вывозу с карьера "км 179" на в дорогу ООО "Айхал-Центр" в т.ч. (для информации ПДО)</t>
  </si>
  <si>
    <t>Плечо возки</t>
  </si>
  <si>
    <t>по состоянию на 26.11.2025 г.</t>
  </si>
  <si>
    <t>Ноябрь</t>
  </si>
  <si>
    <t xml:space="preserve">Накопительная сводка по устройству ЩПС 0/63   на а/д "Вилюй" </t>
  </si>
  <si>
    <t>Накопительная сводка по вывозу ЩПС 0/63 с "Лапчан" на накопитель АБЗ</t>
  </si>
  <si>
    <t xml:space="preserve">Накопительная сводка по завозу скального грунта на карьер "км 179" </t>
  </si>
  <si>
    <t>Тяжелая техника</t>
  </si>
  <si>
    <t>№</t>
  </si>
  <si>
    <t>Наименование</t>
  </si>
  <si>
    <t>Марка</t>
  </si>
  <si>
    <t>Гос.№</t>
  </si>
  <si>
    <t>Примечание</t>
  </si>
  <si>
    <t>Бульдозеры</t>
  </si>
  <si>
    <t>Liebherr 734</t>
  </si>
  <si>
    <t>5543ро</t>
  </si>
  <si>
    <t>5544ро</t>
  </si>
  <si>
    <t>5545ро</t>
  </si>
  <si>
    <t>5546ро</t>
  </si>
  <si>
    <t>СAT D9R</t>
  </si>
  <si>
    <t>2163рк</t>
  </si>
  <si>
    <t>D-275</t>
  </si>
  <si>
    <t>D-65</t>
  </si>
  <si>
    <t>1812ра</t>
  </si>
  <si>
    <t>1813ра</t>
  </si>
  <si>
    <t>Komatsu D355</t>
  </si>
  <si>
    <t>4467ра</t>
  </si>
  <si>
    <t>Экскаваторы</t>
  </si>
  <si>
    <t>СAT 336</t>
  </si>
  <si>
    <t>2161рк</t>
  </si>
  <si>
    <t>СAT 323</t>
  </si>
  <si>
    <t>TEREX 300</t>
  </si>
  <si>
    <t>1713ро</t>
  </si>
  <si>
    <t>TEREX 220</t>
  </si>
  <si>
    <t>8816ро</t>
  </si>
  <si>
    <t>Катки</t>
  </si>
  <si>
    <t>Bomag</t>
  </si>
  <si>
    <t xml:space="preserve"> BW-226</t>
  </si>
  <si>
    <t xml:space="preserve"> BW-120</t>
  </si>
  <si>
    <t xml:space="preserve"> BW-190</t>
  </si>
  <si>
    <t>DM-58</t>
  </si>
  <si>
    <t>RV-21DT</t>
  </si>
  <si>
    <t>1238ро</t>
  </si>
  <si>
    <t>Погрузчики</t>
  </si>
  <si>
    <t>ДЗ-98</t>
  </si>
  <si>
    <t>L-534</t>
  </si>
  <si>
    <t>5815ра</t>
  </si>
  <si>
    <t>5816ра</t>
  </si>
  <si>
    <t>Наемные</t>
  </si>
  <si>
    <t xml:space="preserve">каток </t>
  </si>
  <si>
    <t xml:space="preserve">XCMG </t>
  </si>
  <si>
    <t>ООО "Арктик-ПРО"</t>
  </si>
  <si>
    <t>DOOSAN DX340LCA</t>
  </si>
  <si>
    <t>бульдозер</t>
  </si>
  <si>
    <t>D-355</t>
  </si>
  <si>
    <t>Стройэнергоцентр</t>
  </si>
  <si>
    <t>местняков</t>
  </si>
  <si>
    <t>Накопительная сводка по вывозу непригодного грунта в отвал</t>
  </si>
  <si>
    <t>Накопительная сводка по вывозу ЩПС 0/63 с "Лапчан" на накопитель км1182</t>
  </si>
  <si>
    <t>Июнь</t>
  </si>
  <si>
    <t>Накопительная сводка по вывозу с карьера "км 179" на  дорогу ООО "Айхал-Центр" в т.ч. (для информации ПДО)</t>
  </si>
  <si>
    <t>по состоянию на 30.06.2026 г.</t>
  </si>
  <si>
    <t>Июль</t>
  </si>
  <si>
    <t xml:space="preserve">Накопительная сводка по устройству нижнего слоя покрытия А32НН  на а/д "Вилюй" </t>
  </si>
  <si>
    <t>т</t>
  </si>
  <si>
    <t>по состоянию на 31.07.2026 г.</t>
  </si>
  <si>
    <t>Август</t>
  </si>
  <si>
    <t xml:space="preserve">Накопительная сводка по устройству нижнего слоя покрытия А16ВН  на а/д "Вилюй" </t>
  </si>
  <si>
    <t>по состоянию на 19.08.2026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</si>
</sst>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2" x14ac:knownFonts="1">
    <font>
      <sz val="11"/>
      <color theme="1"/>
      <name val="Calibri"/>
      <scheme val="minor"/>
    </font>
    <font>
      <u/>
      <sz val="11"/>
      <color theme="1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u/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u/>
      <sz val="16"/>
      <color indexed="2"/>
      <name val="Times New Roman"/>
      <family val="1"/>
      <charset val="204"/>
    </font>
    <font>
      <u/>
      <sz val="16"/>
      <color indexed="2"/>
      <name val="Times New Roman"/>
      <family val="1"/>
      <charset val="204"/>
    </font>
    <font>
      <u/>
      <sz val="18"/>
      <color indexed="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indexed="2"/>
      <name val="Calibri"/>
      <family val="2"/>
      <charset val="204"/>
      <scheme val="minor"/>
    </font>
    <font>
      <i/>
      <u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9" tint="0.39997558519241921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0" fillId="0" borderId="0"/>
    <xf numFmtId="0" fontId="1" fillId="0" borderId="0"/>
  </cellStyleXfs>
  <cellXfs count="14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2" applyFont="1"/>
    <xf numFmtId="0" fontId="7" fillId="0" borderId="0" xfId="2" applyFont="1"/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0" fillId="0" borderId="0" xfId="0"/>
    <xf numFmtId="0" fontId="13" fillId="4" borderId="6" xfId="0" applyFont="1" applyFill="1" applyBorder="1" applyAlignment="1">
      <alignment horizontal="center" vertical="center"/>
    </xf>
    <xf numFmtId="0" fontId="13" fillId="5" borderId="27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4" fillId="5" borderId="28" xfId="0" applyFont="1" applyFill="1" applyBorder="1" applyAlignment="1">
      <alignment horizontal="center" vertical="center"/>
    </xf>
    <xf numFmtId="3" fontId="14" fillId="4" borderId="29" xfId="0" applyNumberFormat="1" applyFont="1" applyFill="1" applyBorder="1" applyAlignment="1">
      <alignment horizontal="center" vertical="center"/>
    </xf>
    <xf numFmtId="3" fontId="14" fillId="4" borderId="23" xfId="0" applyNumberFormat="1" applyFont="1" applyFill="1" applyBorder="1" applyAlignment="1">
      <alignment horizontal="center" vertical="center"/>
    </xf>
    <xf numFmtId="3" fontId="14" fillId="4" borderId="25" xfId="0" applyNumberFormat="1" applyFont="1" applyFill="1" applyBorder="1" applyAlignment="1">
      <alignment horizontal="center" vertical="center"/>
    </xf>
    <xf numFmtId="3" fontId="14" fillId="5" borderId="28" xfId="0" applyNumberFormat="1" applyFont="1" applyFill="1" applyBorder="1" applyAlignment="1">
      <alignment horizontal="center" vertical="center"/>
    </xf>
    <xf numFmtId="3" fontId="8" fillId="4" borderId="29" xfId="0" applyNumberFormat="1" applyFont="1" applyFill="1" applyBorder="1" applyAlignment="1">
      <alignment horizontal="center" vertical="center"/>
    </xf>
    <xf numFmtId="3" fontId="8" fillId="4" borderId="11" xfId="0" applyNumberFormat="1" applyFont="1" applyFill="1" applyBorder="1" applyAlignment="1">
      <alignment horizontal="center" vertical="center"/>
    </xf>
    <xf numFmtId="1" fontId="8" fillId="4" borderId="29" xfId="0" applyNumberFormat="1" applyFont="1" applyFill="1" applyBorder="1" applyAlignment="1">
      <alignment horizontal="center" vertical="center"/>
    </xf>
    <xf numFmtId="1" fontId="8" fillId="4" borderId="11" xfId="0" applyNumberFormat="1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5" borderId="22" xfId="0" applyFont="1" applyFill="1" applyBorder="1" applyAlignment="1">
      <alignment horizontal="center" vertical="center"/>
    </xf>
    <xf numFmtId="3" fontId="14" fillId="4" borderId="34" xfId="0" applyNumberFormat="1" applyFont="1" applyFill="1" applyBorder="1" applyAlignment="1">
      <alignment horizontal="center" vertical="center"/>
    </xf>
    <xf numFmtId="3" fontId="14" fillId="4" borderId="24" xfId="0" applyNumberFormat="1" applyFont="1" applyFill="1" applyBorder="1" applyAlignment="1">
      <alignment horizontal="center" vertical="center"/>
    </xf>
    <xf numFmtId="3" fontId="8" fillId="5" borderId="35" xfId="0" applyNumberFormat="1" applyFont="1" applyFill="1" applyBorder="1" applyAlignment="1">
      <alignment horizontal="center" vertical="center"/>
    </xf>
    <xf numFmtId="3" fontId="8" fillId="4" borderId="36" xfId="0" applyNumberFormat="1" applyFont="1" applyFill="1" applyBorder="1" applyAlignment="1">
      <alignment horizontal="center" vertical="center"/>
    </xf>
    <xf numFmtId="3" fontId="8" fillId="4" borderId="37" xfId="0" applyNumberFormat="1" applyFont="1" applyFill="1" applyBorder="1" applyAlignment="1">
      <alignment horizontal="center" vertical="center"/>
    </xf>
    <xf numFmtId="3" fontId="15" fillId="4" borderId="37" xfId="0" applyNumberFormat="1" applyFont="1" applyFill="1" applyBorder="1" applyAlignment="1">
      <alignment horizontal="center" vertical="center"/>
    </xf>
    <xf numFmtId="3" fontId="15" fillId="4" borderId="38" xfId="0" applyNumberFormat="1" applyFont="1" applyFill="1" applyBorder="1" applyAlignment="1">
      <alignment horizontal="center" vertical="center"/>
    </xf>
    <xf numFmtId="3" fontId="15" fillId="4" borderId="39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/>
    </xf>
    <xf numFmtId="0" fontId="14" fillId="5" borderId="35" xfId="0" applyFont="1" applyFill="1" applyBorder="1" applyAlignment="1">
      <alignment horizontal="center" vertical="center"/>
    </xf>
    <xf numFmtId="3" fontId="17" fillId="4" borderId="40" xfId="0" applyNumberFormat="1" applyFont="1" applyFill="1" applyBorder="1" applyAlignment="1">
      <alignment horizontal="center" vertical="center"/>
    </xf>
    <xf numFmtId="164" fontId="14" fillId="4" borderId="40" xfId="0" applyNumberFormat="1" applyFont="1" applyFill="1" applyBorder="1" applyAlignment="1">
      <alignment horizontal="center" vertical="center"/>
    </xf>
    <xf numFmtId="164" fontId="14" fillId="4" borderId="41" xfId="0" applyNumberFormat="1" applyFont="1" applyFill="1" applyBorder="1" applyAlignment="1">
      <alignment horizontal="center" vertical="center"/>
    </xf>
    <xf numFmtId="164" fontId="14" fillId="4" borderId="42" xfId="0" applyNumberFormat="1" applyFont="1" applyFill="1" applyBorder="1" applyAlignment="1">
      <alignment horizontal="center" vertical="center"/>
    </xf>
    <xf numFmtId="3" fontId="15" fillId="4" borderId="29" xfId="0" applyNumberFormat="1" applyFont="1" applyFill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 wrapText="1"/>
    </xf>
    <xf numFmtId="3" fontId="0" fillId="0" borderId="0" xfId="0" applyNumberFormat="1"/>
    <xf numFmtId="0" fontId="14" fillId="4" borderId="43" xfId="0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3" fontId="17" fillId="4" borderId="34" xfId="0" applyNumberFormat="1" applyFont="1" applyFill="1" applyBorder="1" applyAlignment="1">
      <alignment horizontal="center" vertical="center"/>
    </xf>
    <xf numFmtId="164" fontId="14" fillId="4" borderId="34" xfId="0" applyNumberFormat="1" applyFont="1" applyFill="1" applyBorder="1" applyAlignment="1">
      <alignment horizontal="center" vertical="center"/>
    </xf>
    <xf numFmtId="164" fontId="14" fillId="4" borderId="44" xfId="0" applyNumberFormat="1" applyFont="1" applyFill="1" applyBorder="1" applyAlignment="1">
      <alignment horizontal="center" vertical="center"/>
    </xf>
    <xf numFmtId="164" fontId="14" fillId="4" borderId="45" xfId="0" applyNumberFormat="1" applyFont="1" applyFill="1" applyBorder="1" applyAlignment="1">
      <alignment horizontal="center" vertical="center"/>
    </xf>
    <xf numFmtId="0" fontId="14" fillId="0" borderId="46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0" fillId="0" borderId="11" xfId="0" applyBorder="1"/>
    <xf numFmtId="0" fontId="14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4" borderId="0" xfId="0" applyFont="1" applyFill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 wrapText="1"/>
    </xf>
    <xf numFmtId="0" fontId="18" fillId="4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4" fillId="0" borderId="11" xfId="0" applyFont="1" applyBorder="1" applyAlignment="1">
      <alignment horizontal="center" wrapText="1"/>
    </xf>
    <xf numFmtId="14" fontId="0" fillId="0" borderId="0" xfId="0" applyNumberFormat="1"/>
    <xf numFmtId="0" fontId="14" fillId="4" borderId="12" xfId="0" applyFont="1" applyFill="1" applyBorder="1" applyAlignment="1">
      <alignment horizontal="center" vertical="center"/>
    </xf>
    <xf numFmtId="3" fontId="14" fillId="4" borderId="23" xfId="0" applyNumberFormat="1" applyFont="1" applyFill="1" applyBorder="1" applyAlignment="1">
      <alignment horizontal="center" vertical="center"/>
    </xf>
    <xf numFmtId="3" fontId="14" fillId="4" borderId="25" xfId="0" applyNumberFormat="1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3" fontId="14" fillId="4" borderId="23" xfId="0" applyNumberFormat="1" applyFont="1" applyFill="1" applyBorder="1" applyAlignment="1">
      <alignment horizontal="center" vertical="center"/>
    </xf>
    <xf numFmtId="3" fontId="14" fillId="4" borderId="25" xfId="0" applyNumberFormat="1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3" fontId="14" fillId="4" borderId="23" xfId="0" applyNumberFormat="1" applyFont="1" applyFill="1" applyBorder="1" applyAlignment="1">
      <alignment horizontal="center" vertical="center"/>
    </xf>
    <xf numFmtId="3" fontId="14" fillId="4" borderId="25" xfId="0" applyNumberFormat="1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3" fontId="14" fillId="4" borderId="23" xfId="0" applyNumberFormat="1" applyFont="1" applyFill="1" applyBorder="1" applyAlignment="1">
      <alignment horizontal="center" vertical="center"/>
    </xf>
    <xf numFmtId="3" fontId="14" fillId="4" borderId="25" xfId="0" applyNumberFormat="1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3" fontId="14" fillId="4" borderId="23" xfId="0" applyNumberFormat="1" applyFont="1" applyFill="1" applyBorder="1" applyAlignment="1">
      <alignment horizontal="center" vertical="center"/>
    </xf>
    <xf numFmtId="3" fontId="14" fillId="4" borderId="25" xfId="0" applyNumberFormat="1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3" fontId="14" fillId="4" borderId="23" xfId="0" applyNumberFormat="1" applyFont="1" applyFill="1" applyBorder="1" applyAlignment="1">
      <alignment horizontal="center" vertical="center"/>
    </xf>
    <xf numFmtId="3" fontId="14" fillId="4" borderId="25" xfId="0" applyNumberFormat="1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3" fontId="14" fillId="4" borderId="23" xfId="0" applyNumberFormat="1" applyFont="1" applyFill="1" applyBorder="1" applyAlignment="1">
      <alignment horizontal="center" vertical="center"/>
    </xf>
    <xf numFmtId="3" fontId="14" fillId="4" borderId="31" xfId="0" applyNumberFormat="1" applyFont="1" applyFill="1" applyBorder="1" applyAlignment="1">
      <alignment horizontal="center" vertical="center"/>
    </xf>
    <xf numFmtId="3" fontId="14" fillId="4" borderId="30" xfId="0" applyNumberFormat="1" applyFont="1" applyFill="1" applyBorder="1" applyAlignment="1">
      <alignment horizontal="center" vertical="center"/>
    </xf>
    <xf numFmtId="3" fontId="14" fillId="4" borderId="32" xfId="0" applyNumberFormat="1" applyFont="1" applyFill="1" applyBorder="1" applyAlignment="1">
      <alignment horizontal="center" vertical="center"/>
    </xf>
    <xf numFmtId="3" fontId="14" fillId="4" borderId="25" xfId="0" applyNumberFormat="1" applyFont="1" applyFill="1" applyBorder="1" applyAlignment="1">
      <alignment horizontal="center" vertical="center"/>
    </xf>
    <xf numFmtId="3" fontId="14" fillId="4" borderId="33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/>
    </xf>
    <xf numFmtId="0" fontId="14" fillId="0" borderId="47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1" fillId="5" borderId="46" xfId="0" applyFont="1" applyFill="1" applyBorder="1" applyAlignment="1">
      <alignment horizontal="center"/>
    </xf>
    <xf numFmtId="0" fontId="11" fillId="5" borderId="47" xfId="0" applyFont="1" applyFill="1" applyBorder="1" applyAlignment="1">
      <alignment horizontal="center"/>
    </xf>
    <xf numFmtId="0" fontId="11" fillId="5" borderId="29" xfId="0" applyFont="1" applyFill="1" applyBorder="1" applyAlignment="1">
      <alignment horizontal="center"/>
    </xf>
    <xf numFmtId="0" fontId="11" fillId="0" borderId="48" xfId="0" applyFont="1" applyBorder="1" applyAlignment="1">
      <alignment horizontal="center"/>
    </xf>
  </cellXfs>
  <cellStyles count="3">
    <cellStyle name="Обычный" xfId="0" builtinId="0"/>
    <cellStyle name="Обычный 2" xfId="1" xr:uid="{00000000-0005-0000-0000-000001000000}"/>
    <cellStyle name="Открывавшаяся гиперссылка" xfId="2" builtin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Лист1">
    <pageSetUpPr fitToPage="1"/>
  </sheetPr>
  <dimension ref="A2:BR42"/>
  <sheetViews>
    <sheetView topLeftCell="B1" zoomScale="55" workbookViewId="0">
      <pane ySplit="6" topLeftCell="A7" activePane="bottomLeft" state="frozen"/>
      <selection activeCell="AH2" sqref="AH2:AM2"/>
      <selection pane="bottomLeft" activeCell="AH2" sqref="AH2:AM2"/>
    </sheetView>
  </sheetViews>
  <sheetFormatPr defaultRowHeight="15" customHeight="1" x14ac:dyDescent="0.25"/>
  <cols>
    <col min="1" max="1" width="10.5703125" hidden="1" customWidth="1"/>
    <col min="2" max="2" width="9.42578125" customWidth="1"/>
    <col min="3" max="3" width="14.140625" customWidth="1"/>
    <col min="4" max="4" width="7.140625" customWidth="1"/>
    <col min="5" max="5" width="10.85546875" customWidth="1"/>
    <col min="6" max="10" width="10.28515625" customWidth="1"/>
    <col min="11" max="11" width="11.5703125" customWidth="1"/>
    <col min="12" max="34" width="10.28515625" customWidth="1"/>
    <col min="35" max="37" width="10.5703125" customWidth="1"/>
    <col min="38" max="38" width="10.7109375" customWidth="1"/>
    <col min="39" max="39" width="11.7109375" customWidth="1"/>
    <col min="40" max="40" width="10.5703125" customWidth="1"/>
  </cols>
  <sheetData>
    <row r="2" spans="1:70" s="1" customFormat="1" ht="30" customHeigh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3"/>
      <c r="AB2" s="3"/>
      <c r="AC2" s="3"/>
      <c r="AD2" s="3"/>
      <c r="AE2" s="3"/>
      <c r="AF2" s="3"/>
      <c r="AG2" s="3"/>
      <c r="AH2" s="118" t="s">
        <v>0</v>
      </c>
      <c r="AI2" s="118"/>
      <c r="AJ2" s="118"/>
      <c r="AK2" s="118"/>
      <c r="AL2" s="118"/>
      <c r="AM2" s="118"/>
      <c r="AN2" s="4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3"/>
      <c r="BO2" s="3"/>
      <c r="BP2" s="3"/>
      <c r="BQ2" s="3"/>
      <c r="BR2" s="3"/>
    </row>
    <row r="3" spans="1:70" s="1" customFormat="1" ht="30" customHeight="1" x14ac:dyDescent="0.25">
      <c r="A3" s="6" t="s">
        <v>1</v>
      </c>
      <c r="B3" s="119" t="s">
        <v>2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7"/>
    </row>
    <row r="4" spans="1:70" s="1" customFormat="1" ht="30" customHeight="1" x14ac:dyDescent="0.25">
      <c r="A4" s="8"/>
      <c r="B4" s="120" t="s">
        <v>3</v>
      </c>
      <c r="C4" s="121"/>
      <c r="D4" s="122"/>
      <c r="E4" s="123" t="s">
        <v>4</v>
      </c>
      <c r="F4" s="126" t="s">
        <v>5</v>
      </c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7"/>
      <c r="AN4" s="9"/>
    </row>
    <row r="5" spans="1:70" s="10" customFormat="1" ht="15" customHeight="1" x14ac:dyDescent="0.25">
      <c r="A5" s="11"/>
      <c r="B5" s="128" t="s">
        <v>6</v>
      </c>
      <c r="C5" s="129"/>
      <c r="D5" s="130"/>
      <c r="E5" s="124"/>
      <c r="F5" s="12">
        <v>1</v>
      </c>
      <c r="G5" s="13">
        <v>2</v>
      </c>
      <c r="H5" s="13">
        <v>3</v>
      </c>
      <c r="I5" s="13">
        <v>4</v>
      </c>
      <c r="J5" s="13">
        <v>5</v>
      </c>
      <c r="K5" s="13">
        <v>6</v>
      </c>
      <c r="L5" s="13">
        <v>7</v>
      </c>
      <c r="M5" s="13">
        <v>8</v>
      </c>
      <c r="N5" s="13">
        <v>9</v>
      </c>
      <c r="O5" s="13">
        <v>10</v>
      </c>
      <c r="P5" s="13">
        <v>11</v>
      </c>
      <c r="Q5" s="13">
        <v>12</v>
      </c>
      <c r="R5" s="13">
        <v>13</v>
      </c>
      <c r="S5" s="13">
        <v>14</v>
      </c>
      <c r="T5" s="13">
        <v>15</v>
      </c>
      <c r="U5" s="13">
        <v>16</v>
      </c>
      <c r="V5" s="13">
        <v>17</v>
      </c>
      <c r="W5" s="13">
        <v>18</v>
      </c>
      <c r="X5" s="13">
        <v>19</v>
      </c>
      <c r="Y5" s="13">
        <v>20</v>
      </c>
      <c r="Z5" s="13">
        <v>21</v>
      </c>
      <c r="AA5" s="13">
        <v>22</v>
      </c>
      <c r="AB5" s="13">
        <v>23</v>
      </c>
      <c r="AC5" s="13">
        <v>24</v>
      </c>
      <c r="AD5" s="13">
        <v>25</v>
      </c>
      <c r="AE5" s="13">
        <v>26</v>
      </c>
      <c r="AF5" s="13">
        <v>27</v>
      </c>
      <c r="AG5" s="14">
        <v>28</v>
      </c>
      <c r="AH5" s="13">
        <v>29</v>
      </c>
      <c r="AI5" s="14">
        <v>30</v>
      </c>
      <c r="AJ5" s="14">
        <v>31</v>
      </c>
      <c r="AK5" s="131" t="s">
        <v>7</v>
      </c>
      <c r="AL5" s="131"/>
      <c r="AM5" s="132"/>
      <c r="AN5" s="15"/>
    </row>
    <row r="6" spans="1:70" s="10" customFormat="1" ht="18.75" x14ac:dyDescent="0.25">
      <c r="A6" s="16"/>
      <c r="B6" s="133" t="s">
        <v>8</v>
      </c>
      <c r="C6" s="134"/>
      <c r="D6" s="135"/>
      <c r="E6" s="125"/>
      <c r="F6" s="17" t="s">
        <v>9</v>
      </c>
      <c r="G6" s="17" t="s">
        <v>10</v>
      </c>
      <c r="H6" s="17" t="s">
        <v>11</v>
      </c>
      <c r="I6" s="17" t="s">
        <v>12</v>
      </c>
      <c r="J6" s="17" t="s">
        <v>13</v>
      </c>
      <c r="K6" s="17" t="s">
        <v>14</v>
      </c>
      <c r="L6" s="17" t="s">
        <v>15</v>
      </c>
      <c r="M6" s="17" t="s">
        <v>9</v>
      </c>
      <c r="N6" s="17" t="s">
        <v>10</v>
      </c>
      <c r="O6" s="17" t="s">
        <v>11</v>
      </c>
      <c r="P6" s="17" t="s">
        <v>12</v>
      </c>
      <c r="Q6" s="17" t="s">
        <v>13</v>
      </c>
      <c r="R6" s="17" t="s">
        <v>14</v>
      </c>
      <c r="S6" s="17" t="s">
        <v>15</v>
      </c>
      <c r="T6" s="17" t="s">
        <v>9</v>
      </c>
      <c r="U6" s="17" t="s">
        <v>10</v>
      </c>
      <c r="V6" s="17" t="s">
        <v>11</v>
      </c>
      <c r="W6" s="17" t="s">
        <v>12</v>
      </c>
      <c r="X6" s="17" t="s">
        <v>13</v>
      </c>
      <c r="Y6" s="17" t="s">
        <v>14</v>
      </c>
      <c r="Z6" s="17" t="s">
        <v>15</v>
      </c>
      <c r="AA6" s="17" t="s">
        <v>9</v>
      </c>
      <c r="AB6" s="17" t="s">
        <v>10</v>
      </c>
      <c r="AC6" s="17" t="s">
        <v>11</v>
      </c>
      <c r="AD6" s="17" t="s">
        <v>12</v>
      </c>
      <c r="AE6" s="17" t="s">
        <v>13</v>
      </c>
      <c r="AF6" s="17" t="s">
        <v>14</v>
      </c>
      <c r="AG6" s="17" t="s">
        <v>15</v>
      </c>
      <c r="AH6" s="17" t="s">
        <v>9</v>
      </c>
      <c r="AI6" s="17" t="s">
        <v>10</v>
      </c>
      <c r="AJ6" s="17" t="s">
        <v>11</v>
      </c>
      <c r="AK6" s="18" t="s">
        <v>16</v>
      </c>
      <c r="AL6" s="19" t="s">
        <v>17</v>
      </c>
      <c r="AM6" s="20" t="s">
        <v>18</v>
      </c>
      <c r="AN6" s="15"/>
    </row>
    <row r="7" spans="1:70" s="21" customFormat="1" ht="33" customHeight="1" x14ac:dyDescent="0.25">
      <c r="B7" s="110" t="s">
        <v>19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2"/>
    </row>
    <row r="8" spans="1:70" s="21" customFormat="1" ht="15.75" x14ac:dyDescent="0.25">
      <c r="B8" s="115" t="s">
        <v>20</v>
      </c>
      <c r="C8" s="116"/>
      <c r="D8" s="22"/>
      <c r="E8" s="23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5"/>
      <c r="AL8" s="26"/>
      <c r="AM8" s="27"/>
    </row>
    <row r="9" spans="1:70" s="21" customFormat="1" ht="15.75" x14ac:dyDescent="0.25">
      <c r="B9" s="102" t="s">
        <v>21</v>
      </c>
      <c r="C9" s="28" t="s">
        <v>17</v>
      </c>
      <c r="D9" s="103" t="s">
        <v>22</v>
      </c>
      <c r="E9" s="30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104">
        <f>SUM(F10:AJ10)</f>
        <v>8473</v>
      </c>
      <c r="AL9" s="106">
        <f>SUM(F9:AJ9)</f>
        <v>0</v>
      </c>
      <c r="AM9" s="108" t="e">
        <f>AK9/AL9*100</f>
        <v>#DIV/0!</v>
      </c>
    </row>
    <row r="10" spans="1:70" s="21" customFormat="1" ht="18.75" x14ac:dyDescent="0.25">
      <c r="B10" s="102"/>
      <c r="C10" s="28" t="s">
        <v>16</v>
      </c>
      <c r="D10" s="103"/>
      <c r="E10" s="34"/>
      <c r="F10" s="35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>
        <v>90</v>
      </c>
      <c r="U10" s="36">
        <v>330</v>
      </c>
      <c r="V10" s="36">
        <v>390</v>
      </c>
      <c r="W10" s="36">
        <v>350</v>
      </c>
      <c r="X10" s="36">
        <v>290</v>
      </c>
      <c r="Y10" s="36">
        <v>460</v>
      </c>
      <c r="Z10" s="36">
        <f>350+467</f>
        <v>817</v>
      </c>
      <c r="AA10" s="36">
        <f>380+500</f>
        <v>880</v>
      </c>
      <c r="AB10" s="36">
        <f>350+455</f>
        <v>805</v>
      </c>
      <c r="AC10" s="36">
        <f>350+330</f>
        <v>680</v>
      </c>
      <c r="AD10" s="36">
        <f>250+261</f>
        <v>511</v>
      </c>
      <c r="AE10" s="36">
        <f>40+207</f>
        <v>247</v>
      </c>
      <c r="AF10" s="36">
        <f>350+453</f>
        <v>803</v>
      </c>
      <c r="AG10" s="36">
        <f>110+168</f>
        <v>278</v>
      </c>
      <c r="AH10" s="36">
        <f>310+432</f>
        <v>742</v>
      </c>
      <c r="AI10" s="36">
        <f>280+300</f>
        <v>580</v>
      </c>
      <c r="AJ10" s="36">
        <v>220</v>
      </c>
      <c r="AK10" s="105"/>
      <c r="AL10" s="107"/>
      <c r="AM10" s="109"/>
    </row>
    <row r="11" spans="1:70" s="21" customFormat="1" ht="15.75" x14ac:dyDescent="0.25">
      <c r="B11" s="102" t="s">
        <v>23</v>
      </c>
      <c r="C11" s="28" t="s">
        <v>17</v>
      </c>
      <c r="D11" s="103" t="s">
        <v>22</v>
      </c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04">
        <f>SUM(F12:AJ12)</f>
        <v>6396</v>
      </c>
      <c r="AL11" s="106">
        <f>SUM(F11:AJ11)</f>
        <v>0</v>
      </c>
      <c r="AM11" s="108" t="e">
        <f>AK11/AL11*100</f>
        <v>#DIV/0!</v>
      </c>
    </row>
    <row r="12" spans="1:70" s="21" customFormat="1" ht="18.75" x14ac:dyDescent="0.25">
      <c r="B12" s="102"/>
      <c r="C12" s="28" t="s">
        <v>16</v>
      </c>
      <c r="D12" s="103"/>
      <c r="E12" s="34"/>
      <c r="F12" s="37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>
        <v>350</v>
      </c>
      <c r="U12" s="38">
        <v>310</v>
      </c>
      <c r="V12" s="38">
        <v>380</v>
      </c>
      <c r="W12" s="38">
        <v>330</v>
      </c>
      <c r="X12" s="38">
        <v>250</v>
      </c>
      <c r="Y12" s="38">
        <v>230</v>
      </c>
      <c r="Z12" s="38">
        <v>330</v>
      </c>
      <c r="AA12" s="38">
        <v>400</v>
      </c>
      <c r="AB12" s="38">
        <v>470</v>
      </c>
      <c r="AC12" s="38">
        <v>430</v>
      </c>
      <c r="AD12" s="38">
        <v>480</v>
      </c>
      <c r="AE12" s="38">
        <v>370</v>
      </c>
      <c r="AF12" s="38">
        <v>430</v>
      </c>
      <c r="AG12" s="38">
        <v>490</v>
      </c>
      <c r="AH12" s="38">
        <v>460</v>
      </c>
      <c r="AI12" s="38">
        <v>430</v>
      </c>
      <c r="AJ12" s="38">
        <v>256</v>
      </c>
      <c r="AK12" s="105"/>
      <c r="AL12" s="107"/>
      <c r="AM12" s="109"/>
    </row>
    <row r="13" spans="1:70" s="21" customFormat="1" ht="31.5" x14ac:dyDescent="0.25">
      <c r="B13" s="101" t="s">
        <v>24</v>
      </c>
      <c r="C13" s="39" t="s">
        <v>25</v>
      </c>
      <c r="D13" s="29" t="s">
        <v>22</v>
      </c>
      <c r="E13" s="40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>
        <f>AK9+AK11</f>
        <v>14869</v>
      </c>
      <c r="AL13" s="42">
        <f>AL9+AL11</f>
        <v>0</v>
      </c>
      <c r="AM13" s="33" t="e">
        <f t="shared" ref="AM13:AM41" si="0">AK13/AL13*100</f>
        <v>#DIV/0!</v>
      </c>
    </row>
    <row r="14" spans="1:70" s="21" customFormat="1" ht="31.5" x14ac:dyDescent="0.25">
      <c r="B14" s="101"/>
      <c r="C14" s="39" t="s">
        <v>26</v>
      </c>
      <c r="D14" s="29" t="s">
        <v>22</v>
      </c>
      <c r="E14" s="43"/>
      <c r="F14" s="44">
        <f>+F12+F10</f>
        <v>0</v>
      </c>
      <c r="G14" s="45">
        <f>+G12+G10</f>
        <v>0</v>
      </c>
      <c r="H14" s="45">
        <f t="shared" ref="H14:AJ41" si="1">+H12+H10</f>
        <v>0</v>
      </c>
      <c r="I14" s="45">
        <f t="shared" si="1"/>
        <v>0</v>
      </c>
      <c r="J14" s="45">
        <f t="shared" si="1"/>
        <v>0</v>
      </c>
      <c r="K14" s="45">
        <f t="shared" si="1"/>
        <v>0</v>
      </c>
      <c r="L14" s="45">
        <f t="shared" si="1"/>
        <v>0</v>
      </c>
      <c r="M14" s="45">
        <f t="shared" si="1"/>
        <v>0</v>
      </c>
      <c r="N14" s="45">
        <f t="shared" si="1"/>
        <v>0</v>
      </c>
      <c r="O14" s="45">
        <f t="shared" si="1"/>
        <v>0</v>
      </c>
      <c r="P14" s="45">
        <f t="shared" si="1"/>
        <v>0</v>
      </c>
      <c r="Q14" s="45">
        <f t="shared" si="1"/>
        <v>0</v>
      </c>
      <c r="R14" s="45">
        <f t="shared" si="1"/>
        <v>0</v>
      </c>
      <c r="S14" s="45">
        <f>+S12+S10</f>
        <v>0</v>
      </c>
      <c r="T14" s="45">
        <f t="shared" si="1"/>
        <v>440</v>
      </c>
      <c r="U14" s="45">
        <f t="shared" si="1"/>
        <v>640</v>
      </c>
      <c r="V14" s="45">
        <f t="shared" si="1"/>
        <v>770</v>
      </c>
      <c r="W14" s="45">
        <f t="shared" si="1"/>
        <v>680</v>
      </c>
      <c r="X14" s="45">
        <f t="shared" si="1"/>
        <v>540</v>
      </c>
      <c r="Y14" s="45">
        <f t="shared" si="1"/>
        <v>690</v>
      </c>
      <c r="Z14" s="45">
        <f t="shared" si="1"/>
        <v>1147</v>
      </c>
      <c r="AA14" s="45">
        <f t="shared" si="1"/>
        <v>1280</v>
      </c>
      <c r="AB14" s="45">
        <f t="shared" si="1"/>
        <v>1275</v>
      </c>
      <c r="AC14" s="45">
        <f t="shared" si="1"/>
        <v>1110</v>
      </c>
      <c r="AD14" s="45">
        <f t="shared" si="1"/>
        <v>991</v>
      </c>
      <c r="AE14" s="45">
        <f t="shared" si="1"/>
        <v>617</v>
      </c>
      <c r="AF14" s="45">
        <f t="shared" si="1"/>
        <v>1233</v>
      </c>
      <c r="AG14" s="45">
        <f t="shared" si="1"/>
        <v>768</v>
      </c>
      <c r="AH14" s="45">
        <f t="shared" si="1"/>
        <v>1202</v>
      </c>
      <c r="AI14" s="45">
        <f t="shared" si="1"/>
        <v>1010</v>
      </c>
      <c r="AJ14" s="45">
        <f t="shared" si="1"/>
        <v>476</v>
      </c>
      <c r="AK14" s="46">
        <f>SUM(F14:AJ14)</f>
        <v>14869</v>
      </c>
      <c r="AL14" s="47">
        <f>AL13</f>
        <v>0</v>
      </c>
      <c r="AM14" s="48" t="e">
        <f t="shared" si="0"/>
        <v>#DIV/0!</v>
      </c>
      <c r="AN14" s="49"/>
    </row>
    <row r="15" spans="1:70" s="21" customFormat="1" ht="15.75" x14ac:dyDescent="0.25">
      <c r="B15" s="50" t="s">
        <v>18</v>
      </c>
      <c r="C15" s="51" t="s">
        <v>27</v>
      </c>
      <c r="D15" s="52" t="s">
        <v>22</v>
      </c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5"/>
      <c r="AL15" s="56"/>
      <c r="AM15" s="57"/>
    </row>
    <row r="16" spans="1:70" s="21" customFormat="1" ht="32.25" customHeight="1" x14ac:dyDescent="0.25">
      <c r="B16" s="110" t="s">
        <v>28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2"/>
    </row>
    <row r="17" spans="2:39" s="21" customFormat="1" ht="15.75" x14ac:dyDescent="0.25">
      <c r="B17" s="115" t="s">
        <v>20</v>
      </c>
      <c r="C17" s="116"/>
      <c r="D17" s="22"/>
      <c r="E17" s="23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5"/>
      <c r="AL17" s="26"/>
      <c r="AM17" s="27"/>
    </row>
    <row r="18" spans="2:39" s="21" customFormat="1" ht="15.75" x14ac:dyDescent="0.25">
      <c r="B18" s="102" t="s">
        <v>21</v>
      </c>
      <c r="C18" s="28" t="s">
        <v>17</v>
      </c>
      <c r="D18" s="103" t="s">
        <v>22</v>
      </c>
      <c r="E18" s="30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04">
        <f>SUM(F19:AJ19)</f>
        <v>1421</v>
      </c>
      <c r="AL18" s="106">
        <f>SUM(F18:AJ18)</f>
        <v>0</v>
      </c>
      <c r="AM18" s="108" t="e">
        <f t="shared" si="0"/>
        <v>#DIV/0!</v>
      </c>
    </row>
    <row r="19" spans="2:39" s="21" customFormat="1" ht="18.75" x14ac:dyDescent="0.25">
      <c r="B19" s="102"/>
      <c r="C19" s="28" t="s">
        <v>16</v>
      </c>
      <c r="D19" s="103"/>
      <c r="E19" s="34"/>
      <c r="F19" s="35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>
        <v>228</v>
      </c>
      <c r="U19" s="36">
        <v>108</v>
      </c>
      <c r="V19" s="36">
        <v>108</v>
      </c>
      <c r="W19" s="36">
        <v>84</v>
      </c>
      <c r="X19" s="36">
        <v>77</v>
      </c>
      <c r="Y19" s="36">
        <v>156</v>
      </c>
      <c r="Z19" s="36">
        <v>84</v>
      </c>
      <c r="AA19" s="36">
        <v>84</v>
      </c>
      <c r="AB19" s="36">
        <v>108</v>
      </c>
      <c r="AC19" s="36">
        <v>84</v>
      </c>
      <c r="AD19" s="36">
        <v>60</v>
      </c>
      <c r="AE19" s="36">
        <v>36</v>
      </c>
      <c r="AF19" s="36">
        <v>84</v>
      </c>
      <c r="AG19" s="36">
        <v>120</v>
      </c>
      <c r="AH19" s="36"/>
      <c r="AI19" s="36"/>
      <c r="AJ19" s="36"/>
      <c r="AK19" s="105"/>
      <c r="AL19" s="107"/>
      <c r="AM19" s="109"/>
    </row>
    <row r="20" spans="2:39" s="21" customFormat="1" ht="15.75" x14ac:dyDescent="0.25">
      <c r="B20" s="102" t="s">
        <v>23</v>
      </c>
      <c r="C20" s="28" t="s">
        <v>17</v>
      </c>
      <c r="D20" s="103" t="s">
        <v>22</v>
      </c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04">
        <f>SUM(F21:AJ21)</f>
        <v>1208</v>
      </c>
      <c r="AL20" s="106">
        <f>SUM(F20:AJ20)</f>
        <v>0</v>
      </c>
      <c r="AM20" s="108" t="e">
        <f t="shared" si="0"/>
        <v>#DIV/0!</v>
      </c>
    </row>
    <row r="21" spans="2:39" s="21" customFormat="1" ht="18.75" x14ac:dyDescent="0.25">
      <c r="B21" s="102"/>
      <c r="C21" s="28" t="s">
        <v>16</v>
      </c>
      <c r="D21" s="103"/>
      <c r="E21" s="34"/>
      <c r="F21" s="37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>
        <v>96</v>
      </c>
      <c r="V21" s="38">
        <v>96</v>
      </c>
      <c r="W21" s="38">
        <v>84</v>
      </c>
      <c r="X21" s="38">
        <v>60</v>
      </c>
      <c r="Y21" s="38">
        <v>72</v>
      </c>
      <c r="Z21" s="38">
        <v>72</v>
      </c>
      <c r="AA21" s="38">
        <v>96</v>
      </c>
      <c r="AB21" s="38">
        <v>120</v>
      </c>
      <c r="AC21" s="38">
        <v>100</v>
      </c>
      <c r="AD21" s="38">
        <v>120</v>
      </c>
      <c r="AE21" s="38">
        <v>96</v>
      </c>
      <c r="AF21" s="38">
        <v>96</v>
      </c>
      <c r="AG21" s="38">
        <v>100</v>
      </c>
      <c r="AH21" s="38"/>
      <c r="AI21" s="38"/>
      <c r="AJ21" s="38"/>
      <c r="AK21" s="105"/>
      <c r="AL21" s="107"/>
      <c r="AM21" s="109"/>
    </row>
    <row r="22" spans="2:39" s="21" customFormat="1" ht="31.5" x14ac:dyDescent="0.25">
      <c r="B22" s="101" t="s">
        <v>24</v>
      </c>
      <c r="C22" s="39" t="s">
        <v>25</v>
      </c>
      <c r="D22" s="29" t="s">
        <v>22</v>
      </c>
      <c r="E22" s="40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>
        <f>AK18+AK20</f>
        <v>2629</v>
      </c>
      <c r="AL22" s="42">
        <f>AL18+AL20</f>
        <v>0</v>
      </c>
      <c r="AM22" s="33" t="e">
        <f t="shared" si="0"/>
        <v>#DIV/0!</v>
      </c>
    </row>
    <row r="23" spans="2:39" s="21" customFormat="1" ht="31.5" x14ac:dyDescent="0.25">
      <c r="B23" s="101"/>
      <c r="C23" s="39" t="s">
        <v>26</v>
      </c>
      <c r="D23" s="29" t="s">
        <v>22</v>
      </c>
      <c r="E23" s="43"/>
      <c r="F23" s="44">
        <f>+F21+F19</f>
        <v>0</v>
      </c>
      <c r="G23" s="45">
        <f>+G21+G19</f>
        <v>0</v>
      </c>
      <c r="H23" s="45">
        <f t="shared" si="1"/>
        <v>0</v>
      </c>
      <c r="I23" s="45">
        <f t="shared" si="1"/>
        <v>0</v>
      </c>
      <c r="J23" s="45">
        <f t="shared" si="1"/>
        <v>0</v>
      </c>
      <c r="K23" s="45">
        <f t="shared" si="1"/>
        <v>0</v>
      </c>
      <c r="L23" s="45">
        <f t="shared" si="1"/>
        <v>0</v>
      </c>
      <c r="M23" s="45">
        <f t="shared" si="1"/>
        <v>0</v>
      </c>
      <c r="N23" s="45">
        <f t="shared" si="1"/>
        <v>0</v>
      </c>
      <c r="O23" s="45">
        <f t="shared" si="1"/>
        <v>0</v>
      </c>
      <c r="P23" s="45">
        <f t="shared" si="1"/>
        <v>0</v>
      </c>
      <c r="Q23" s="45">
        <f t="shared" si="1"/>
        <v>0</v>
      </c>
      <c r="R23" s="45">
        <f t="shared" si="1"/>
        <v>0</v>
      </c>
      <c r="S23" s="45">
        <f t="shared" si="1"/>
        <v>0</v>
      </c>
      <c r="T23" s="45">
        <f t="shared" si="1"/>
        <v>228</v>
      </c>
      <c r="U23" s="45">
        <f t="shared" si="1"/>
        <v>204</v>
      </c>
      <c r="V23" s="45">
        <f t="shared" si="1"/>
        <v>204</v>
      </c>
      <c r="W23" s="45">
        <f t="shared" si="1"/>
        <v>168</v>
      </c>
      <c r="X23" s="45">
        <f t="shared" si="1"/>
        <v>137</v>
      </c>
      <c r="Y23" s="45">
        <f t="shared" si="1"/>
        <v>228</v>
      </c>
      <c r="Z23" s="45">
        <f t="shared" si="1"/>
        <v>156</v>
      </c>
      <c r="AA23" s="45">
        <f t="shared" si="1"/>
        <v>180</v>
      </c>
      <c r="AB23" s="45">
        <f t="shared" si="1"/>
        <v>228</v>
      </c>
      <c r="AC23" s="45">
        <f t="shared" si="1"/>
        <v>184</v>
      </c>
      <c r="AD23" s="45">
        <f t="shared" si="1"/>
        <v>180</v>
      </c>
      <c r="AE23" s="45">
        <f t="shared" si="1"/>
        <v>132</v>
      </c>
      <c r="AF23" s="45">
        <f t="shared" si="1"/>
        <v>180</v>
      </c>
      <c r="AG23" s="45">
        <f t="shared" si="1"/>
        <v>220</v>
      </c>
      <c r="AH23" s="45">
        <f t="shared" si="1"/>
        <v>0</v>
      </c>
      <c r="AI23" s="45">
        <f t="shared" si="1"/>
        <v>0</v>
      </c>
      <c r="AJ23" s="45">
        <f t="shared" si="1"/>
        <v>0</v>
      </c>
      <c r="AK23" s="46">
        <f>SUM(F23:AJ23)</f>
        <v>2629</v>
      </c>
      <c r="AL23" s="47">
        <f>AL22</f>
        <v>0</v>
      </c>
      <c r="AM23" s="48" t="e">
        <f t="shared" si="0"/>
        <v>#DIV/0!</v>
      </c>
    </row>
    <row r="24" spans="2:39" s="21" customFormat="1" ht="15.75" x14ac:dyDescent="0.25">
      <c r="B24" s="50" t="s">
        <v>18</v>
      </c>
      <c r="C24" s="51" t="s">
        <v>27</v>
      </c>
      <c r="D24" s="52" t="s">
        <v>22</v>
      </c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5"/>
      <c r="AL24" s="56"/>
      <c r="AM24" s="57"/>
    </row>
    <row r="25" spans="2:39" s="21" customFormat="1" ht="29.25" customHeight="1" x14ac:dyDescent="0.25">
      <c r="B25" s="110" t="s">
        <v>29</v>
      </c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2"/>
    </row>
    <row r="26" spans="2:39" s="21" customFormat="1" ht="15.75" x14ac:dyDescent="0.25">
      <c r="B26" s="115" t="s">
        <v>20</v>
      </c>
      <c r="C26" s="116"/>
      <c r="D26" s="22"/>
      <c r="E26" s="23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5"/>
      <c r="AL26" s="26"/>
      <c r="AM26" s="27"/>
    </row>
    <row r="27" spans="2:39" s="21" customFormat="1" ht="15.75" x14ac:dyDescent="0.25">
      <c r="B27" s="102" t="s">
        <v>21</v>
      </c>
      <c r="C27" s="28" t="s">
        <v>17</v>
      </c>
      <c r="D27" s="103" t="s">
        <v>22</v>
      </c>
      <c r="E27" s="3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104">
        <f>SUM(F28:AJ28)</f>
        <v>1200</v>
      </c>
      <c r="AL27" s="106">
        <f>SUM(F27:AJ27)</f>
        <v>0</v>
      </c>
      <c r="AM27" s="108" t="e">
        <f t="shared" si="0"/>
        <v>#DIV/0!</v>
      </c>
    </row>
    <row r="28" spans="2:39" s="21" customFormat="1" ht="18.75" x14ac:dyDescent="0.25">
      <c r="B28" s="102"/>
      <c r="C28" s="28" t="s">
        <v>16</v>
      </c>
      <c r="D28" s="103"/>
      <c r="E28" s="34"/>
      <c r="F28" s="35"/>
      <c r="G28" s="36"/>
      <c r="H28" s="36"/>
      <c r="I28" s="36"/>
      <c r="J28" s="38"/>
      <c r="K28" s="36"/>
      <c r="L28" s="36"/>
      <c r="M28" s="36"/>
      <c r="N28" s="36"/>
      <c r="O28" s="36"/>
      <c r="P28" s="36"/>
      <c r="Q28" s="36"/>
      <c r="R28" s="36"/>
      <c r="S28" s="36">
        <v>10</v>
      </c>
      <c r="T28" s="36">
        <v>70</v>
      </c>
      <c r="U28" s="36">
        <v>110</v>
      </c>
      <c r="V28" s="36">
        <v>90</v>
      </c>
      <c r="W28" s="36">
        <v>70</v>
      </c>
      <c r="X28" s="36">
        <v>50</v>
      </c>
      <c r="Y28" s="36">
        <v>120</v>
      </c>
      <c r="Z28" s="36">
        <v>70</v>
      </c>
      <c r="AA28" s="36">
        <v>50</v>
      </c>
      <c r="AB28" s="36">
        <v>90</v>
      </c>
      <c r="AC28" s="36">
        <v>70</v>
      </c>
      <c r="AD28" s="36">
        <v>50</v>
      </c>
      <c r="AE28" s="36">
        <v>20</v>
      </c>
      <c r="AF28" s="36">
        <v>10</v>
      </c>
      <c r="AG28" s="36">
        <v>90</v>
      </c>
      <c r="AH28" s="36">
        <v>90</v>
      </c>
      <c r="AI28" s="36">
        <v>90</v>
      </c>
      <c r="AJ28" s="36">
        <v>50</v>
      </c>
      <c r="AK28" s="105"/>
      <c r="AL28" s="107"/>
      <c r="AM28" s="109"/>
    </row>
    <row r="29" spans="2:39" s="21" customFormat="1" ht="15.75" x14ac:dyDescent="0.25">
      <c r="B29" s="102" t="s">
        <v>23</v>
      </c>
      <c r="C29" s="28" t="s">
        <v>17</v>
      </c>
      <c r="D29" s="103" t="s">
        <v>22</v>
      </c>
      <c r="E29" s="3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104">
        <f>SUM(F30:AJ30)</f>
        <v>1332</v>
      </c>
      <c r="AL29" s="106">
        <f>SUM(F29:AJ29)</f>
        <v>0</v>
      </c>
      <c r="AM29" s="108" t="e">
        <f t="shared" si="0"/>
        <v>#DIV/0!</v>
      </c>
    </row>
    <row r="30" spans="2:39" s="21" customFormat="1" ht="18.75" x14ac:dyDescent="0.25">
      <c r="B30" s="102"/>
      <c r="C30" s="28" t="s">
        <v>16</v>
      </c>
      <c r="D30" s="103"/>
      <c r="E30" s="34"/>
      <c r="F30" s="37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>
        <v>70</v>
      </c>
      <c r="U30" s="38">
        <v>80</v>
      </c>
      <c r="V30" s="38">
        <v>80</v>
      </c>
      <c r="W30" s="38">
        <v>60</v>
      </c>
      <c r="X30" s="38">
        <v>50</v>
      </c>
      <c r="Y30" s="38">
        <v>50</v>
      </c>
      <c r="Z30" s="38">
        <v>70</v>
      </c>
      <c r="AA30" s="38">
        <v>52</v>
      </c>
      <c r="AB30" s="38">
        <v>90</v>
      </c>
      <c r="AC30" s="38">
        <v>120</v>
      </c>
      <c r="AD30" s="38">
        <v>100</v>
      </c>
      <c r="AE30" s="38">
        <v>70</v>
      </c>
      <c r="AF30" s="38">
        <v>80</v>
      </c>
      <c r="AG30" s="38">
        <v>100</v>
      </c>
      <c r="AH30" s="38">
        <v>100</v>
      </c>
      <c r="AI30" s="38">
        <v>90</v>
      </c>
      <c r="AJ30" s="38">
        <v>70</v>
      </c>
      <c r="AK30" s="105"/>
      <c r="AL30" s="107"/>
      <c r="AM30" s="109"/>
    </row>
    <row r="31" spans="2:39" s="21" customFormat="1" ht="31.5" x14ac:dyDescent="0.25">
      <c r="B31" s="101" t="s">
        <v>24</v>
      </c>
      <c r="C31" s="39" t="s">
        <v>25</v>
      </c>
      <c r="D31" s="29" t="s">
        <v>22</v>
      </c>
      <c r="E31" s="40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>
        <f>AK27+AK29</f>
        <v>2532</v>
      </c>
      <c r="AL31" s="42">
        <f>AL27+AL29</f>
        <v>0</v>
      </c>
      <c r="AM31" s="33" t="e">
        <f t="shared" si="0"/>
        <v>#DIV/0!</v>
      </c>
    </row>
    <row r="32" spans="2:39" s="21" customFormat="1" ht="31.5" x14ac:dyDescent="0.25">
      <c r="B32" s="101"/>
      <c r="C32" s="39" t="s">
        <v>26</v>
      </c>
      <c r="D32" s="29" t="s">
        <v>22</v>
      </c>
      <c r="E32" s="43">
        <f>10594+AK32</f>
        <v>13126</v>
      </c>
      <c r="F32" s="44">
        <f>+F30+F28</f>
        <v>0</v>
      </c>
      <c r="G32" s="45">
        <f>+G30+G28</f>
        <v>0</v>
      </c>
      <c r="H32" s="45">
        <f t="shared" si="1"/>
        <v>0</v>
      </c>
      <c r="I32" s="45">
        <f t="shared" si="1"/>
        <v>0</v>
      </c>
      <c r="J32" s="45">
        <f t="shared" si="1"/>
        <v>0</v>
      </c>
      <c r="K32" s="45">
        <f t="shared" si="1"/>
        <v>0</v>
      </c>
      <c r="L32" s="45">
        <f t="shared" si="1"/>
        <v>0</v>
      </c>
      <c r="M32" s="45">
        <f t="shared" si="1"/>
        <v>0</v>
      </c>
      <c r="N32" s="45">
        <f t="shared" si="1"/>
        <v>0</v>
      </c>
      <c r="O32" s="45">
        <f t="shared" si="1"/>
        <v>0</v>
      </c>
      <c r="P32" s="45">
        <f t="shared" si="1"/>
        <v>0</v>
      </c>
      <c r="Q32" s="45">
        <f t="shared" si="1"/>
        <v>0</v>
      </c>
      <c r="R32" s="45">
        <f t="shared" si="1"/>
        <v>0</v>
      </c>
      <c r="S32" s="45">
        <f t="shared" si="1"/>
        <v>10</v>
      </c>
      <c r="T32" s="45">
        <f t="shared" si="1"/>
        <v>140</v>
      </c>
      <c r="U32" s="45">
        <f t="shared" si="1"/>
        <v>190</v>
      </c>
      <c r="V32" s="45">
        <f t="shared" si="1"/>
        <v>170</v>
      </c>
      <c r="W32" s="45">
        <f t="shared" si="1"/>
        <v>130</v>
      </c>
      <c r="X32" s="45">
        <f t="shared" si="1"/>
        <v>100</v>
      </c>
      <c r="Y32" s="45">
        <f t="shared" si="1"/>
        <v>170</v>
      </c>
      <c r="Z32" s="45">
        <f t="shared" si="1"/>
        <v>140</v>
      </c>
      <c r="AA32" s="45">
        <f t="shared" si="1"/>
        <v>102</v>
      </c>
      <c r="AB32" s="45">
        <f t="shared" si="1"/>
        <v>180</v>
      </c>
      <c r="AC32" s="45">
        <f t="shared" si="1"/>
        <v>190</v>
      </c>
      <c r="AD32" s="45">
        <f t="shared" si="1"/>
        <v>150</v>
      </c>
      <c r="AE32" s="45">
        <f t="shared" si="1"/>
        <v>90</v>
      </c>
      <c r="AF32" s="45">
        <f t="shared" si="1"/>
        <v>90</v>
      </c>
      <c r="AG32" s="45">
        <f t="shared" si="1"/>
        <v>190</v>
      </c>
      <c r="AH32" s="45">
        <f t="shared" si="1"/>
        <v>190</v>
      </c>
      <c r="AI32" s="45">
        <f t="shared" si="1"/>
        <v>180</v>
      </c>
      <c r="AJ32" s="45">
        <f t="shared" si="1"/>
        <v>120</v>
      </c>
      <c r="AK32" s="46">
        <f>SUM(F32:AJ32)</f>
        <v>2532</v>
      </c>
      <c r="AL32" s="47">
        <f>AL31</f>
        <v>0</v>
      </c>
      <c r="AM32" s="48" t="e">
        <f t="shared" si="0"/>
        <v>#DIV/0!</v>
      </c>
    </row>
    <row r="33" spans="2:39" s="21" customFormat="1" ht="15.75" x14ac:dyDescent="0.25">
      <c r="B33" s="50" t="s">
        <v>18</v>
      </c>
      <c r="C33" s="51" t="s">
        <v>27</v>
      </c>
      <c r="D33" s="52" t="s">
        <v>22</v>
      </c>
      <c r="E33" s="53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5"/>
      <c r="AL33" s="56"/>
      <c r="AM33" s="57"/>
    </row>
    <row r="34" spans="2:39" s="21" customFormat="1" ht="29.25" customHeight="1" x14ac:dyDescent="0.25">
      <c r="B34" s="110" t="s">
        <v>30</v>
      </c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2"/>
    </row>
    <row r="35" spans="2:39" s="21" customFormat="1" ht="30.75" customHeight="1" x14ac:dyDescent="0.25">
      <c r="B35" s="113" t="s">
        <v>31</v>
      </c>
      <c r="C35" s="114"/>
      <c r="D35" s="22"/>
      <c r="E35" s="23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>
        <v>20</v>
      </c>
      <c r="AA35" s="59">
        <v>21</v>
      </c>
      <c r="AB35" s="59">
        <v>21</v>
      </c>
      <c r="AC35" s="59">
        <v>21</v>
      </c>
      <c r="AD35" s="59">
        <v>22</v>
      </c>
      <c r="AE35" s="59">
        <v>20</v>
      </c>
      <c r="AF35" s="59">
        <v>20</v>
      </c>
      <c r="AG35" s="59">
        <v>20</v>
      </c>
      <c r="AH35" s="59">
        <v>20</v>
      </c>
      <c r="AI35" s="59">
        <v>20</v>
      </c>
      <c r="AJ35" s="59"/>
      <c r="AK35" s="25"/>
      <c r="AL35" s="26"/>
      <c r="AM35" s="27"/>
    </row>
    <row r="36" spans="2:39" s="21" customFormat="1" ht="15.75" x14ac:dyDescent="0.25">
      <c r="B36" s="102" t="s">
        <v>21</v>
      </c>
      <c r="C36" s="28" t="s">
        <v>17</v>
      </c>
      <c r="D36" s="103" t="s">
        <v>22</v>
      </c>
      <c r="E36" s="30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104">
        <f>SUM(F37:AJ37)</f>
        <v>3573</v>
      </c>
      <c r="AL36" s="106">
        <f>SUM(F36:AJ36)</f>
        <v>0</v>
      </c>
      <c r="AM36" s="108" t="e">
        <f t="shared" si="0"/>
        <v>#DIV/0!</v>
      </c>
    </row>
    <row r="37" spans="2:39" s="21" customFormat="1" ht="18.75" x14ac:dyDescent="0.25">
      <c r="B37" s="102"/>
      <c r="C37" s="28" t="s">
        <v>16</v>
      </c>
      <c r="D37" s="103"/>
      <c r="E37" s="34"/>
      <c r="F37" s="35"/>
      <c r="G37" s="36"/>
      <c r="H37" s="36"/>
      <c r="I37" s="36"/>
      <c r="J37" s="38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>
        <v>467</v>
      </c>
      <c r="AA37" s="36">
        <v>500</v>
      </c>
      <c r="AB37" s="36">
        <v>455</v>
      </c>
      <c r="AC37" s="36">
        <v>330</v>
      </c>
      <c r="AD37" s="36">
        <v>261</v>
      </c>
      <c r="AE37" s="36">
        <v>207</v>
      </c>
      <c r="AF37" s="36">
        <v>453</v>
      </c>
      <c r="AG37" s="36">
        <v>168</v>
      </c>
      <c r="AH37" s="36">
        <v>432</v>
      </c>
      <c r="AI37" s="36">
        <v>300</v>
      </c>
      <c r="AJ37" s="36"/>
      <c r="AK37" s="105"/>
      <c r="AL37" s="107"/>
      <c r="AM37" s="109"/>
    </row>
    <row r="38" spans="2:39" s="21" customFormat="1" ht="15.75" x14ac:dyDescent="0.25">
      <c r="B38" s="102" t="s">
        <v>23</v>
      </c>
      <c r="C38" s="28" t="s">
        <v>17</v>
      </c>
      <c r="D38" s="103" t="s">
        <v>22</v>
      </c>
      <c r="E38" s="30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104">
        <f>SUM(F39:AJ39)</f>
        <v>0</v>
      </c>
      <c r="AL38" s="106">
        <f>SUM(F38:AJ38)</f>
        <v>0</v>
      </c>
      <c r="AM38" s="108" t="e">
        <f t="shared" si="0"/>
        <v>#DIV/0!</v>
      </c>
    </row>
    <row r="39" spans="2:39" s="21" customFormat="1" ht="18.75" x14ac:dyDescent="0.25">
      <c r="B39" s="102"/>
      <c r="C39" s="28" t="s">
        <v>16</v>
      </c>
      <c r="D39" s="103"/>
      <c r="E39" s="34"/>
      <c r="F39" s="37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105"/>
      <c r="AL39" s="107"/>
      <c r="AM39" s="109"/>
    </row>
    <row r="40" spans="2:39" s="21" customFormat="1" ht="31.5" x14ac:dyDescent="0.25">
      <c r="B40" s="101" t="s">
        <v>24</v>
      </c>
      <c r="C40" s="39" t="s">
        <v>25</v>
      </c>
      <c r="D40" s="29" t="s">
        <v>22</v>
      </c>
      <c r="E40" s="40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>
        <f>AK36+AK38</f>
        <v>3573</v>
      </c>
      <c r="AL40" s="42">
        <f>AL36+AL38</f>
        <v>0</v>
      </c>
      <c r="AM40" s="33" t="e">
        <f t="shared" si="0"/>
        <v>#DIV/0!</v>
      </c>
    </row>
    <row r="41" spans="2:39" s="21" customFormat="1" ht="31.5" x14ac:dyDescent="0.25">
      <c r="B41" s="101"/>
      <c r="C41" s="39" t="s">
        <v>26</v>
      </c>
      <c r="D41" s="29" t="s">
        <v>22</v>
      </c>
      <c r="E41" s="43">
        <f>10594+AK41</f>
        <v>14167</v>
      </c>
      <c r="F41" s="44">
        <f>+F39+F37</f>
        <v>0</v>
      </c>
      <c r="G41" s="45">
        <f>+G39+G37</f>
        <v>0</v>
      </c>
      <c r="H41" s="45">
        <f t="shared" si="1"/>
        <v>0</v>
      </c>
      <c r="I41" s="45">
        <f t="shared" si="1"/>
        <v>0</v>
      </c>
      <c r="J41" s="45">
        <f t="shared" si="1"/>
        <v>0</v>
      </c>
      <c r="K41" s="45">
        <f t="shared" si="1"/>
        <v>0</v>
      </c>
      <c r="L41" s="45">
        <f t="shared" si="1"/>
        <v>0</v>
      </c>
      <c r="M41" s="45">
        <f t="shared" si="1"/>
        <v>0</v>
      </c>
      <c r="N41" s="45">
        <f t="shared" si="1"/>
        <v>0</v>
      </c>
      <c r="O41" s="45">
        <f t="shared" si="1"/>
        <v>0</v>
      </c>
      <c r="P41" s="45">
        <f t="shared" si="1"/>
        <v>0</v>
      </c>
      <c r="Q41" s="45">
        <f t="shared" si="1"/>
        <v>0</v>
      </c>
      <c r="R41" s="45">
        <f t="shared" si="1"/>
        <v>0</v>
      </c>
      <c r="S41" s="45">
        <f t="shared" si="1"/>
        <v>0</v>
      </c>
      <c r="T41" s="45">
        <f t="shared" si="1"/>
        <v>0</v>
      </c>
      <c r="U41" s="45">
        <f t="shared" si="1"/>
        <v>0</v>
      </c>
      <c r="V41" s="45">
        <f t="shared" si="1"/>
        <v>0</v>
      </c>
      <c r="W41" s="45">
        <f t="shared" si="1"/>
        <v>0</v>
      </c>
      <c r="X41" s="45">
        <f t="shared" si="1"/>
        <v>0</v>
      </c>
      <c r="Y41" s="45">
        <f t="shared" si="1"/>
        <v>0</v>
      </c>
      <c r="Z41" s="45">
        <f t="shared" si="1"/>
        <v>467</v>
      </c>
      <c r="AA41" s="45">
        <f t="shared" si="1"/>
        <v>500</v>
      </c>
      <c r="AB41" s="45">
        <f t="shared" si="1"/>
        <v>455</v>
      </c>
      <c r="AC41" s="45">
        <f t="shared" si="1"/>
        <v>330</v>
      </c>
      <c r="AD41" s="45">
        <f t="shared" si="1"/>
        <v>261</v>
      </c>
      <c r="AE41" s="45">
        <f t="shared" si="1"/>
        <v>207</v>
      </c>
      <c r="AF41" s="45">
        <f t="shared" si="1"/>
        <v>453</v>
      </c>
      <c r="AG41" s="45">
        <f t="shared" si="1"/>
        <v>168</v>
      </c>
      <c r="AH41" s="45">
        <f t="shared" si="1"/>
        <v>432</v>
      </c>
      <c r="AI41" s="45">
        <f t="shared" si="1"/>
        <v>300</v>
      </c>
      <c r="AJ41" s="45">
        <f t="shared" si="1"/>
        <v>0</v>
      </c>
      <c r="AK41" s="46">
        <f>SUM(F41:AJ41)</f>
        <v>3573</v>
      </c>
      <c r="AL41" s="47">
        <f>AL40</f>
        <v>0</v>
      </c>
      <c r="AM41" s="48" t="e">
        <f t="shared" si="0"/>
        <v>#DIV/0!</v>
      </c>
    </row>
    <row r="42" spans="2:39" s="21" customFormat="1" ht="15.75" x14ac:dyDescent="0.25">
      <c r="B42" s="50" t="s">
        <v>18</v>
      </c>
      <c r="C42" s="51" t="s">
        <v>27</v>
      </c>
      <c r="D42" s="52" t="s">
        <v>22</v>
      </c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5"/>
      <c r="AL42" s="56"/>
      <c r="AM42" s="57"/>
    </row>
  </sheetData>
  <mergeCells count="61">
    <mergeCell ref="O2:Z2"/>
    <mergeCell ref="AH2:AM2"/>
    <mergeCell ref="B3:AM3"/>
    <mergeCell ref="B4:D4"/>
    <mergeCell ref="E4:E6"/>
    <mergeCell ref="F4:AM4"/>
    <mergeCell ref="B5:D5"/>
    <mergeCell ref="AK5:AM5"/>
    <mergeCell ref="B6:D6"/>
    <mergeCell ref="B7:AM7"/>
    <mergeCell ref="B8:C8"/>
    <mergeCell ref="B9:B10"/>
    <mergeCell ref="D9:D10"/>
    <mergeCell ref="AK9:AK10"/>
    <mergeCell ref="AL9:AL10"/>
    <mergeCell ref="AM9:AM10"/>
    <mergeCell ref="B11:B12"/>
    <mergeCell ref="D11:D12"/>
    <mergeCell ref="AK11:AK12"/>
    <mergeCell ref="AL11:AL12"/>
    <mergeCell ref="AM11:AM12"/>
    <mergeCell ref="B13:B14"/>
    <mergeCell ref="B16:AM16"/>
    <mergeCell ref="B17:C17"/>
    <mergeCell ref="B18:B19"/>
    <mergeCell ref="D18:D19"/>
    <mergeCell ref="AK18:AK19"/>
    <mergeCell ref="AL18:AL19"/>
    <mergeCell ref="AM18:AM19"/>
    <mergeCell ref="B20:B21"/>
    <mergeCell ref="D20:D21"/>
    <mergeCell ref="AK20:AK21"/>
    <mergeCell ref="AL20:AL21"/>
    <mergeCell ref="AM20:AM21"/>
    <mergeCell ref="B22:B23"/>
    <mergeCell ref="B25:AM25"/>
    <mergeCell ref="B26:C26"/>
    <mergeCell ref="B27:B28"/>
    <mergeCell ref="D27:D28"/>
    <mergeCell ref="AK27:AK28"/>
    <mergeCell ref="AL27:AL28"/>
    <mergeCell ref="AM27:AM28"/>
    <mergeCell ref="B29:B30"/>
    <mergeCell ref="D29:D30"/>
    <mergeCell ref="AK29:AK30"/>
    <mergeCell ref="AL29:AL30"/>
    <mergeCell ref="AM29:AM30"/>
    <mergeCell ref="AM38:AM39"/>
    <mergeCell ref="B31:B32"/>
    <mergeCell ref="B34:AM34"/>
    <mergeCell ref="B35:C35"/>
    <mergeCell ref="B36:B37"/>
    <mergeCell ref="D36:D37"/>
    <mergeCell ref="AK36:AK37"/>
    <mergeCell ref="AL36:AL37"/>
    <mergeCell ref="AM36:AM37"/>
    <mergeCell ref="B40:B41"/>
    <mergeCell ref="B38:B39"/>
    <mergeCell ref="D38:D39"/>
    <mergeCell ref="AK38:AK39"/>
    <mergeCell ref="AL38:AL39"/>
  </mergeCells>
  <pageMargins left="0.70866099999999987" right="0.70866099999999987" top="0.748031" bottom="0.748031" header="0.31496099999999999" footer="0.31496099999999999"/>
  <pageSetup paperSize="9" scale="2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>
    <pageSetUpPr fitToPage="1"/>
  </sheetPr>
  <dimension ref="A2:BR52"/>
  <sheetViews>
    <sheetView zoomScale="55" workbookViewId="0">
      <pane ySplit="6" topLeftCell="A7" activePane="bottomLeft" state="frozen"/>
      <selection activeCell="AH2" sqref="AH2:AM2"/>
      <selection pane="bottomLeft" activeCell="AH2" sqref="AH2:AM2"/>
    </sheetView>
  </sheetViews>
  <sheetFormatPr defaultRowHeight="15" customHeight="1" x14ac:dyDescent="0.25"/>
  <cols>
    <col min="1" max="1" width="10.5703125" style="21" hidden="1" customWidth="1"/>
    <col min="2" max="2" width="9.42578125" style="21" customWidth="1"/>
    <col min="3" max="3" width="14.140625" style="21" customWidth="1"/>
    <col min="4" max="4" width="7.140625" style="21" customWidth="1"/>
    <col min="5" max="5" width="10.85546875" style="21" customWidth="1"/>
    <col min="6" max="10" width="10.28515625" style="21" customWidth="1"/>
    <col min="11" max="11" width="11.5703125" style="21" customWidth="1"/>
    <col min="12" max="34" width="10.28515625" style="21" customWidth="1"/>
    <col min="35" max="37" width="10.5703125" style="21" customWidth="1"/>
    <col min="38" max="38" width="10.7109375" style="21" customWidth="1"/>
    <col min="39" max="39" width="11.7109375" style="21" customWidth="1"/>
    <col min="40" max="40" width="10.5703125" style="21" customWidth="1"/>
    <col min="41" max="16384" width="9.140625" style="21"/>
  </cols>
  <sheetData>
    <row r="2" spans="1:70" s="1" customFormat="1" ht="30" customHeigh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3"/>
      <c r="AB2" s="3"/>
      <c r="AC2" s="3"/>
      <c r="AD2" s="3"/>
      <c r="AE2" s="3"/>
      <c r="AF2" s="3"/>
      <c r="AG2" s="3"/>
      <c r="AH2" s="118" t="s">
        <v>32</v>
      </c>
      <c r="AI2" s="118"/>
      <c r="AJ2" s="118"/>
      <c r="AK2" s="118"/>
      <c r="AL2" s="118"/>
      <c r="AM2" s="118"/>
      <c r="AN2" s="4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3"/>
      <c r="BO2" s="3"/>
      <c r="BP2" s="3"/>
      <c r="BQ2" s="3"/>
      <c r="BR2" s="3"/>
    </row>
    <row r="3" spans="1:70" s="1" customFormat="1" ht="30" customHeight="1" x14ac:dyDescent="0.25">
      <c r="A3" s="6" t="s">
        <v>1</v>
      </c>
      <c r="B3" s="119" t="s">
        <v>2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7"/>
    </row>
    <row r="4" spans="1:70" s="1" customFormat="1" ht="30" customHeight="1" x14ac:dyDescent="0.25">
      <c r="A4" s="8"/>
      <c r="B4" s="120" t="s">
        <v>3</v>
      </c>
      <c r="C4" s="121"/>
      <c r="D4" s="122"/>
      <c r="E4" s="123" t="s">
        <v>4</v>
      </c>
      <c r="F4" s="126" t="s">
        <v>33</v>
      </c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7"/>
      <c r="AN4" s="9"/>
    </row>
    <row r="5" spans="1:70" s="10" customFormat="1" ht="15" customHeight="1" x14ac:dyDescent="0.25">
      <c r="A5" s="11"/>
      <c r="B5" s="128" t="s">
        <v>6</v>
      </c>
      <c r="C5" s="129"/>
      <c r="D5" s="130"/>
      <c r="E5" s="124"/>
      <c r="F5" s="12">
        <v>1</v>
      </c>
      <c r="G5" s="13">
        <v>2</v>
      </c>
      <c r="H5" s="13">
        <v>3</v>
      </c>
      <c r="I5" s="13">
        <v>4</v>
      </c>
      <c r="J5" s="13">
        <v>5</v>
      </c>
      <c r="K5" s="13">
        <v>6</v>
      </c>
      <c r="L5" s="13">
        <v>7</v>
      </c>
      <c r="M5" s="13">
        <v>8</v>
      </c>
      <c r="N5" s="13">
        <v>9</v>
      </c>
      <c r="O5" s="13">
        <v>10</v>
      </c>
      <c r="P5" s="13">
        <v>11</v>
      </c>
      <c r="Q5" s="13">
        <v>12</v>
      </c>
      <c r="R5" s="13">
        <v>13</v>
      </c>
      <c r="S5" s="13">
        <v>14</v>
      </c>
      <c r="T5" s="13">
        <v>15</v>
      </c>
      <c r="U5" s="13">
        <v>16</v>
      </c>
      <c r="V5" s="13">
        <v>17</v>
      </c>
      <c r="W5" s="13">
        <v>18</v>
      </c>
      <c r="X5" s="13">
        <v>19</v>
      </c>
      <c r="Y5" s="13">
        <v>20</v>
      </c>
      <c r="Z5" s="13">
        <v>21</v>
      </c>
      <c r="AA5" s="13">
        <v>22</v>
      </c>
      <c r="AB5" s="13">
        <v>23</v>
      </c>
      <c r="AC5" s="13">
        <v>24</v>
      </c>
      <c r="AD5" s="13">
        <v>25</v>
      </c>
      <c r="AE5" s="13">
        <v>26</v>
      </c>
      <c r="AF5" s="13">
        <v>27</v>
      </c>
      <c r="AG5" s="14">
        <v>28</v>
      </c>
      <c r="AH5" s="13">
        <v>29</v>
      </c>
      <c r="AI5" s="14">
        <v>30</v>
      </c>
      <c r="AJ5" s="14">
        <v>31</v>
      </c>
      <c r="AK5" s="131" t="s">
        <v>7</v>
      </c>
      <c r="AL5" s="131"/>
      <c r="AM5" s="132"/>
      <c r="AN5" s="15"/>
    </row>
    <row r="6" spans="1:70" s="10" customFormat="1" ht="18.75" x14ac:dyDescent="0.25">
      <c r="A6" s="16"/>
      <c r="B6" s="133" t="s">
        <v>8</v>
      </c>
      <c r="C6" s="134"/>
      <c r="D6" s="135"/>
      <c r="E6" s="125"/>
      <c r="F6" s="17" t="s">
        <v>9</v>
      </c>
      <c r="G6" s="17" t="s">
        <v>10</v>
      </c>
      <c r="H6" s="17" t="s">
        <v>11</v>
      </c>
      <c r="I6" s="17" t="s">
        <v>12</v>
      </c>
      <c r="J6" s="17" t="s">
        <v>13</v>
      </c>
      <c r="K6" s="17" t="s">
        <v>14</v>
      </c>
      <c r="L6" s="17" t="s">
        <v>15</v>
      </c>
      <c r="M6" s="17" t="s">
        <v>9</v>
      </c>
      <c r="N6" s="17" t="s">
        <v>10</v>
      </c>
      <c r="O6" s="17" t="s">
        <v>11</v>
      </c>
      <c r="P6" s="17" t="s">
        <v>12</v>
      </c>
      <c r="Q6" s="17" t="s">
        <v>13</v>
      </c>
      <c r="R6" s="17" t="s">
        <v>14</v>
      </c>
      <c r="S6" s="17" t="s">
        <v>15</v>
      </c>
      <c r="T6" s="17" t="s">
        <v>9</v>
      </c>
      <c r="U6" s="17" t="s">
        <v>10</v>
      </c>
      <c r="V6" s="17" t="s">
        <v>11</v>
      </c>
      <c r="W6" s="17" t="s">
        <v>12</v>
      </c>
      <c r="X6" s="17" t="s">
        <v>13</v>
      </c>
      <c r="Y6" s="17" t="s">
        <v>14</v>
      </c>
      <c r="Z6" s="17" t="s">
        <v>15</v>
      </c>
      <c r="AA6" s="17" t="s">
        <v>9</v>
      </c>
      <c r="AB6" s="17" t="s">
        <v>10</v>
      </c>
      <c r="AC6" s="17" t="s">
        <v>11</v>
      </c>
      <c r="AD6" s="17" t="s">
        <v>12</v>
      </c>
      <c r="AE6" s="17" t="s">
        <v>13</v>
      </c>
      <c r="AF6" s="17" t="s">
        <v>14</v>
      </c>
      <c r="AG6" s="17" t="s">
        <v>15</v>
      </c>
      <c r="AH6" s="17" t="s">
        <v>9</v>
      </c>
      <c r="AI6" s="17" t="s">
        <v>10</v>
      </c>
      <c r="AJ6" s="17" t="s">
        <v>11</v>
      </c>
      <c r="AK6" s="18" t="s">
        <v>16</v>
      </c>
      <c r="AL6" s="19" t="s">
        <v>17</v>
      </c>
      <c r="AM6" s="20" t="s">
        <v>18</v>
      </c>
      <c r="AN6" s="15"/>
    </row>
    <row r="7" spans="1:70" ht="33" customHeight="1" x14ac:dyDescent="0.25">
      <c r="B7" s="110" t="s">
        <v>19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2"/>
    </row>
    <row r="8" spans="1:70" ht="15.75" x14ac:dyDescent="0.25">
      <c r="B8" s="115" t="s">
        <v>20</v>
      </c>
      <c r="C8" s="116"/>
      <c r="D8" s="22"/>
      <c r="E8" s="23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5"/>
      <c r="AL8" s="26"/>
      <c r="AM8" s="27"/>
    </row>
    <row r="9" spans="1:70" ht="15.75" x14ac:dyDescent="0.25">
      <c r="B9" s="102" t="s">
        <v>21</v>
      </c>
      <c r="C9" s="28" t="s">
        <v>17</v>
      </c>
      <c r="D9" s="103" t="s">
        <v>22</v>
      </c>
      <c r="E9" s="30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104">
        <f>SUM(F10:AJ10)</f>
        <v>10233</v>
      </c>
      <c r="AL9" s="106">
        <f>SUM(F9:AJ9)</f>
        <v>0</v>
      </c>
      <c r="AM9" s="108" t="e">
        <f>AK9/AL9*100</f>
        <v>#DIV/0!</v>
      </c>
      <c r="AO9" s="60"/>
    </row>
    <row r="10" spans="1:70" ht="18.75" x14ac:dyDescent="0.25">
      <c r="B10" s="102"/>
      <c r="C10" s="28" t="s">
        <v>16</v>
      </c>
      <c r="D10" s="103"/>
      <c r="E10" s="34">
        <f>8473+AK9</f>
        <v>18706</v>
      </c>
      <c r="F10" s="35">
        <f>160+405</f>
        <v>565</v>
      </c>
      <c r="G10" s="36">
        <f>150+346</f>
        <v>496</v>
      </c>
      <c r="H10" s="36">
        <f>150+120</f>
        <v>270</v>
      </c>
      <c r="I10" s="36">
        <f>100+140</f>
        <v>240</v>
      </c>
      <c r="J10" s="36">
        <f>90+250</f>
        <v>340</v>
      </c>
      <c r="K10" s="36">
        <f>120+298</f>
        <v>418</v>
      </c>
      <c r="L10" s="36">
        <f>150+340</f>
        <v>490</v>
      </c>
      <c r="M10" s="36">
        <f>388+130</f>
        <v>518</v>
      </c>
      <c r="N10" s="36">
        <f>290+392</f>
        <v>682</v>
      </c>
      <c r="O10" s="36">
        <f>300+200</f>
        <v>500</v>
      </c>
      <c r="P10" s="36">
        <f>310+230</f>
        <v>540</v>
      </c>
      <c r="Q10" s="36">
        <f>372+80</f>
        <v>452</v>
      </c>
      <c r="R10" s="36">
        <f>400</f>
        <v>400</v>
      </c>
      <c r="S10" s="36"/>
      <c r="T10" s="36"/>
      <c r="U10" s="36">
        <f>240+136</f>
        <v>376</v>
      </c>
      <c r="V10" s="36">
        <f>220+304</f>
        <v>524</v>
      </c>
      <c r="W10" s="36">
        <f>220+394</f>
        <v>614</v>
      </c>
      <c r="X10" s="36">
        <f>200+362</f>
        <v>562</v>
      </c>
      <c r="Y10" s="36">
        <f>130+216</f>
        <v>346</v>
      </c>
      <c r="Z10" s="36">
        <f>170+536</f>
        <v>706</v>
      </c>
      <c r="AA10" s="36">
        <f>60+544</f>
        <v>604</v>
      </c>
      <c r="AB10" s="36">
        <f>50+540</f>
        <v>590</v>
      </c>
      <c r="AC10" s="36"/>
      <c r="AD10" s="36"/>
      <c r="AE10" s="36"/>
      <c r="AF10" s="36"/>
      <c r="AG10" s="36"/>
      <c r="AH10" s="36"/>
      <c r="AI10" s="36"/>
      <c r="AJ10" s="36"/>
      <c r="AK10" s="105"/>
      <c r="AL10" s="107"/>
      <c r="AM10" s="109"/>
    </row>
    <row r="11" spans="1:70" ht="15.75" x14ac:dyDescent="0.25">
      <c r="B11" s="102" t="s">
        <v>23</v>
      </c>
      <c r="C11" s="28" t="s">
        <v>17</v>
      </c>
      <c r="D11" s="103" t="s">
        <v>22</v>
      </c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04">
        <f>SUM(F12:AJ12)</f>
        <v>9612</v>
      </c>
      <c r="AL11" s="106">
        <f>SUM(F11:AJ11)</f>
        <v>0</v>
      </c>
      <c r="AM11" s="108" t="e">
        <f>AK11/AL11*100</f>
        <v>#DIV/0!</v>
      </c>
      <c r="AO11" s="60"/>
    </row>
    <row r="12" spans="1:70" ht="18.75" x14ac:dyDescent="0.25">
      <c r="B12" s="102"/>
      <c r="C12" s="28" t="s">
        <v>16</v>
      </c>
      <c r="D12" s="103"/>
      <c r="E12" s="34">
        <f>6396+AK11</f>
        <v>16008</v>
      </c>
      <c r="F12" s="37">
        <v>264</v>
      </c>
      <c r="G12" s="38">
        <f>184+80</f>
        <v>264</v>
      </c>
      <c r="H12" s="38">
        <f>144+156</f>
        <v>300</v>
      </c>
      <c r="I12" s="38">
        <f>200+132</f>
        <v>332</v>
      </c>
      <c r="J12" s="38">
        <f>240+180</f>
        <v>420</v>
      </c>
      <c r="K12" s="38">
        <f>240+156</f>
        <v>396</v>
      </c>
      <c r="L12" s="38">
        <f>336+132</f>
        <v>468</v>
      </c>
      <c r="M12" s="38">
        <f>208+162</f>
        <v>370</v>
      </c>
      <c r="N12" s="38">
        <f>432-24</f>
        <v>408</v>
      </c>
      <c r="O12" s="38">
        <f>520+180</f>
        <v>700</v>
      </c>
      <c r="P12" s="38">
        <f>400+232</f>
        <v>632</v>
      </c>
      <c r="Q12" s="38">
        <f>764</f>
        <v>764</v>
      </c>
      <c r="R12" s="38">
        <f>234</f>
        <v>234</v>
      </c>
      <c r="S12" s="38"/>
      <c r="T12" s="38"/>
      <c r="U12" s="38">
        <v>302</v>
      </c>
      <c r="V12" s="38">
        <v>604</v>
      </c>
      <c r="W12" s="38">
        <f>678</f>
        <v>678</v>
      </c>
      <c r="X12" s="38">
        <f>240+314</f>
        <v>554</v>
      </c>
      <c r="Y12" s="38">
        <f>170+368</f>
        <v>538</v>
      </c>
      <c r="Z12" s="38">
        <v>486</v>
      </c>
      <c r="AA12" s="38">
        <f>220+340</f>
        <v>560</v>
      </c>
      <c r="AB12" s="38">
        <v>338</v>
      </c>
      <c r="AC12" s="38"/>
      <c r="AD12" s="38"/>
      <c r="AE12" s="38"/>
      <c r="AF12" s="38"/>
      <c r="AG12" s="38"/>
      <c r="AH12" s="38"/>
      <c r="AI12" s="38"/>
      <c r="AJ12" s="38"/>
      <c r="AK12" s="105"/>
      <c r="AL12" s="107"/>
      <c r="AM12" s="109"/>
    </row>
    <row r="13" spans="1:70" ht="31.5" x14ac:dyDescent="0.25">
      <c r="B13" s="101" t="s">
        <v>24</v>
      </c>
      <c r="C13" s="39" t="s">
        <v>25</v>
      </c>
      <c r="D13" s="29" t="s">
        <v>22</v>
      </c>
      <c r="E13" s="40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>
        <f>AK9+AK11</f>
        <v>19845</v>
      </c>
      <c r="AL13" s="42">
        <f>AL9+AL11</f>
        <v>0</v>
      </c>
      <c r="AM13" s="33" t="e">
        <f t="shared" ref="AM13:AM51" si="0">AK13/AL13*100</f>
        <v>#DIV/0!</v>
      </c>
    </row>
    <row r="14" spans="1:70" ht="31.5" x14ac:dyDescent="0.25">
      <c r="B14" s="101"/>
      <c r="C14" s="39" t="s">
        <v>26</v>
      </c>
      <c r="D14" s="29" t="s">
        <v>22</v>
      </c>
      <c r="E14" s="43">
        <f>E10+E12</f>
        <v>34714</v>
      </c>
      <c r="F14" s="44">
        <f>+F12+F10</f>
        <v>829</v>
      </c>
      <c r="G14" s="45">
        <f>+G12+G10</f>
        <v>760</v>
      </c>
      <c r="H14" s="45">
        <f t="shared" ref="H14:AJ23" si="1">+H12+H10</f>
        <v>570</v>
      </c>
      <c r="I14" s="45">
        <f t="shared" si="1"/>
        <v>572</v>
      </c>
      <c r="J14" s="45">
        <f t="shared" si="1"/>
        <v>760</v>
      </c>
      <c r="K14" s="45">
        <f t="shared" si="1"/>
        <v>814</v>
      </c>
      <c r="L14" s="45">
        <f t="shared" si="1"/>
        <v>958</v>
      </c>
      <c r="M14" s="45">
        <f t="shared" si="1"/>
        <v>888</v>
      </c>
      <c r="N14" s="45">
        <f t="shared" si="1"/>
        <v>1090</v>
      </c>
      <c r="O14" s="45">
        <f t="shared" si="1"/>
        <v>1200</v>
      </c>
      <c r="P14" s="45">
        <f t="shared" si="1"/>
        <v>1172</v>
      </c>
      <c r="Q14" s="45">
        <f t="shared" si="1"/>
        <v>1216</v>
      </c>
      <c r="R14" s="45">
        <f t="shared" si="1"/>
        <v>634</v>
      </c>
      <c r="S14" s="45">
        <f>+S12+S10</f>
        <v>0</v>
      </c>
      <c r="T14" s="45">
        <f t="shared" si="1"/>
        <v>0</v>
      </c>
      <c r="U14" s="45">
        <f t="shared" si="1"/>
        <v>678</v>
      </c>
      <c r="V14" s="45">
        <f t="shared" si="1"/>
        <v>1128</v>
      </c>
      <c r="W14" s="45">
        <f t="shared" si="1"/>
        <v>1292</v>
      </c>
      <c r="X14" s="45">
        <f t="shared" si="1"/>
        <v>1116</v>
      </c>
      <c r="Y14" s="45">
        <f t="shared" si="1"/>
        <v>884</v>
      </c>
      <c r="Z14" s="45">
        <f t="shared" si="1"/>
        <v>1192</v>
      </c>
      <c r="AA14" s="45">
        <f t="shared" si="1"/>
        <v>1164</v>
      </c>
      <c r="AB14" s="45">
        <f t="shared" si="1"/>
        <v>928</v>
      </c>
      <c r="AC14" s="45">
        <f t="shared" si="1"/>
        <v>0</v>
      </c>
      <c r="AD14" s="45">
        <f t="shared" si="1"/>
        <v>0</v>
      </c>
      <c r="AE14" s="45">
        <f t="shared" si="1"/>
        <v>0</v>
      </c>
      <c r="AF14" s="45">
        <f t="shared" si="1"/>
        <v>0</v>
      </c>
      <c r="AG14" s="45">
        <f t="shared" si="1"/>
        <v>0</v>
      </c>
      <c r="AH14" s="45">
        <f t="shared" si="1"/>
        <v>0</v>
      </c>
      <c r="AI14" s="45">
        <f t="shared" si="1"/>
        <v>0</v>
      </c>
      <c r="AJ14" s="45">
        <f t="shared" si="1"/>
        <v>0</v>
      </c>
      <c r="AK14" s="46">
        <f>SUM(F14:AJ14)</f>
        <v>19845</v>
      </c>
      <c r="AL14" s="47">
        <f>AL13</f>
        <v>0</v>
      </c>
      <c r="AM14" s="48" t="e">
        <f t="shared" si="0"/>
        <v>#DIV/0!</v>
      </c>
      <c r="AN14" s="49"/>
    </row>
    <row r="15" spans="1:70" ht="15.75" x14ac:dyDescent="0.25">
      <c r="B15" s="50" t="s">
        <v>18</v>
      </c>
      <c r="C15" s="51" t="s">
        <v>27</v>
      </c>
      <c r="D15" s="52" t="s">
        <v>22</v>
      </c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5"/>
      <c r="AL15" s="56"/>
      <c r="AM15" s="57"/>
    </row>
    <row r="16" spans="1:70" ht="32.25" customHeight="1" x14ac:dyDescent="0.25">
      <c r="B16" s="110" t="s">
        <v>28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2"/>
    </row>
    <row r="17" spans="2:41" ht="15.75" x14ac:dyDescent="0.25">
      <c r="B17" s="115" t="s">
        <v>20</v>
      </c>
      <c r="C17" s="116"/>
      <c r="D17" s="22"/>
      <c r="E17" s="23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5"/>
      <c r="AL17" s="26"/>
      <c r="AM17" s="27"/>
    </row>
    <row r="18" spans="2:41" ht="15.75" x14ac:dyDescent="0.25">
      <c r="B18" s="102" t="s">
        <v>21</v>
      </c>
      <c r="C18" s="28" t="s">
        <v>17</v>
      </c>
      <c r="D18" s="103" t="s">
        <v>22</v>
      </c>
      <c r="E18" s="30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04">
        <f>SUM(F19:AJ19)</f>
        <v>0</v>
      </c>
      <c r="AL18" s="106">
        <f>SUM(F18:AJ18)</f>
        <v>0</v>
      </c>
      <c r="AM18" s="108" t="e">
        <f t="shared" si="0"/>
        <v>#DIV/0!</v>
      </c>
      <c r="AO18" s="60"/>
    </row>
    <row r="19" spans="2:41" ht="18.75" x14ac:dyDescent="0.25">
      <c r="B19" s="102"/>
      <c r="C19" s="28" t="s">
        <v>16</v>
      </c>
      <c r="D19" s="103"/>
      <c r="E19" s="34">
        <f>1421+AK18</f>
        <v>1421</v>
      </c>
      <c r="F19" s="35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105"/>
      <c r="AL19" s="107"/>
      <c r="AM19" s="109"/>
    </row>
    <row r="20" spans="2:41" ht="15.75" x14ac:dyDescent="0.25">
      <c r="B20" s="102" t="s">
        <v>23</v>
      </c>
      <c r="C20" s="28" t="s">
        <v>17</v>
      </c>
      <c r="D20" s="103" t="s">
        <v>22</v>
      </c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04">
        <f>SUM(F21:AJ21)</f>
        <v>0</v>
      </c>
      <c r="AL20" s="106">
        <f>SUM(F20:AJ20)</f>
        <v>0</v>
      </c>
      <c r="AM20" s="108" t="e">
        <f t="shared" si="0"/>
        <v>#DIV/0!</v>
      </c>
      <c r="AO20" s="60"/>
    </row>
    <row r="21" spans="2:41" ht="18.75" x14ac:dyDescent="0.25">
      <c r="B21" s="102"/>
      <c r="C21" s="28" t="s">
        <v>16</v>
      </c>
      <c r="D21" s="103"/>
      <c r="E21" s="34">
        <f>1208+AK20</f>
        <v>1208</v>
      </c>
      <c r="F21" s="37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105"/>
      <c r="AL21" s="107"/>
      <c r="AM21" s="109"/>
    </row>
    <row r="22" spans="2:41" ht="31.5" x14ac:dyDescent="0.25">
      <c r="B22" s="101" t="s">
        <v>24</v>
      </c>
      <c r="C22" s="39" t="s">
        <v>25</v>
      </c>
      <c r="D22" s="29" t="s">
        <v>22</v>
      </c>
      <c r="E22" s="40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>
        <f>AK18+AK20</f>
        <v>0</v>
      </c>
      <c r="AL22" s="42">
        <f>AL18+AL20</f>
        <v>0</v>
      </c>
      <c r="AM22" s="33" t="e">
        <f t="shared" si="0"/>
        <v>#DIV/0!</v>
      </c>
    </row>
    <row r="23" spans="2:41" ht="31.5" x14ac:dyDescent="0.25">
      <c r="B23" s="101"/>
      <c r="C23" s="39" t="s">
        <v>26</v>
      </c>
      <c r="D23" s="29" t="s">
        <v>22</v>
      </c>
      <c r="E23" s="43">
        <f>E19+E21</f>
        <v>2629</v>
      </c>
      <c r="F23" s="44">
        <f>+F21+F19</f>
        <v>0</v>
      </c>
      <c r="G23" s="45">
        <f>+G21+G19</f>
        <v>0</v>
      </c>
      <c r="H23" s="45">
        <f t="shared" si="1"/>
        <v>0</v>
      </c>
      <c r="I23" s="45">
        <f t="shared" si="1"/>
        <v>0</v>
      </c>
      <c r="J23" s="45">
        <f t="shared" si="1"/>
        <v>0</v>
      </c>
      <c r="K23" s="45">
        <f t="shared" si="1"/>
        <v>0</v>
      </c>
      <c r="L23" s="45">
        <f t="shared" si="1"/>
        <v>0</v>
      </c>
      <c r="M23" s="45">
        <f t="shared" si="1"/>
        <v>0</v>
      </c>
      <c r="N23" s="45">
        <f t="shared" si="1"/>
        <v>0</v>
      </c>
      <c r="O23" s="45">
        <f t="shared" si="1"/>
        <v>0</v>
      </c>
      <c r="P23" s="45">
        <f t="shared" si="1"/>
        <v>0</v>
      </c>
      <c r="Q23" s="45">
        <f t="shared" si="1"/>
        <v>0</v>
      </c>
      <c r="R23" s="45">
        <f t="shared" si="1"/>
        <v>0</v>
      </c>
      <c r="S23" s="45">
        <f t="shared" si="1"/>
        <v>0</v>
      </c>
      <c r="T23" s="45">
        <f t="shared" si="1"/>
        <v>0</v>
      </c>
      <c r="U23" s="45">
        <f t="shared" si="1"/>
        <v>0</v>
      </c>
      <c r="V23" s="45">
        <f t="shared" si="1"/>
        <v>0</v>
      </c>
      <c r="W23" s="45">
        <f t="shared" si="1"/>
        <v>0</v>
      </c>
      <c r="X23" s="45">
        <f t="shared" si="1"/>
        <v>0</v>
      </c>
      <c r="Y23" s="45">
        <f t="shared" si="1"/>
        <v>0</v>
      </c>
      <c r="Z23" s="45">
        <f t="shared" si="1"/>
        <v>0</v>
      </c>
      <c r="AA23" s="45">
        <f t="shared" si="1"/>
        <v>0</v>
      </c>
      <c r="AB23" s="45">
        <f t="shared" si="1"/>
        <v>0</v>
      </c>
      <c r="AC23" s="45">
        <f t="shared" si="1"/>
        <v>0</v>
      </c>
      <c r="AD23" s="45">
        <f t="shared" si="1"/>
        <v>0</v>
      </c>
      <c r="AE23" s="45">
        <f t="shared" si="1"/>
        <v>0</v>
      </c>
      <c r="AF23" s="45">
        <f t="shared" si="1"/>
        <v>0</v>
      </c>
      <c r="AG23" s="45">
        <f t="shared" si="1"/>
        <v>0</v>
      </c>
      <c r="AH23" s="45">
        <f t="shared" si="1"/>
        <v>0</v>
      </c>
      <c r="AI23" s="45">
        <f t="shared" si="1"/>
        <v>0</v>
      </c>
      <c r="AJ23" s="45">
        <f t="shared" si="1"/>
        <v>0</v>
      </c>
      <c r="AK23" s="46">
        <f>SUM(F23:AJ23)</f>
        <v>0</v>
      </c>
      <c r="AL23" s="47">
        <f>AL22</f>
        <v>0</v>
      </c>
      <c r="AM23" s="48" t="e">
        <f t="shared" si="0"/>
        <v>#DIV/0!</v>
      </c>
    </row>
    <row r="24" spans="2:41" ht="15.75" x14ac:dyDescent="0.25">
      <c r="B24" s="50" t="s">
        <v>18</v>
      </c>
      <c r="C24" s="51" t="s">
        <v>27</v>
      </c>
      <c r="D24" s="52" t="s">
        <v>22</v>
      </c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5"/>
      <c r="AL24" s="56"/>
      <c r="AM24" s="57"/>
    </row>
    <row r="25" spans="2:41" ht="29.25" customHeight="1" x14ac:dyDescent="0.25">
      <c r="B25" s="110" t="s">
        <v>29</v>
      </c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2"/>
    </row>
    <row r="26" spans="2:41" ht="15.75" x14ac:dyDescent="0.25">
      <c r="B26" s="115" t="s">
        <v>20</v>
      </c>
      <c r="C26" s="116"/>
      <c r="D26" s="22"/>
      <c r="E26" s="23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5"/>
      <c r="AL26" s="26"/>
      <c r="AM26" s="27"/>
    </row>
    <row r="27" spans="2:41" ht="15.75" x14ac:dyDescent="0.25">
      <c r="B27" s="102" t="s">
        <v>21</v>
      </c>
      <c r="C27" s="28" t="s">
        <v>17</v>
      </c>
      <c r="D27" s="103" t="s">
        <v>22</v>
      </c>
      <c r="E27" s="3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104">
        <f>SUM(F28:AJ28)</f>
        <v>220</v>
      </c>
      <c r="AL27" s="106">
        <f>SUM(F27:AJ27)</f>
        <v>0</v>
      </c>
      <c r="AM27" s="108" t="e">
        <f t="shared" si="0"/>
        <v>#DIV/0!</v>
      </c>
      <c r="AO27" s="60"/>
    </row>
    <row r="28" spans="2:41" ht="18.75" x14ac:dyDescent="0.25">
      <c r="B28" s="102"/>
      <c r="C28" s="28" t="s">
        <v>16</v>
      </c>
      <c r="D28" s="103"/>
      <c r="E28" s="34">
        <f>1200+AK27</f>
        <v>1420</v>
      </c>
      <c r="F28" s="35">
        <v>60</v>
      </c>
      <c r="G28" s="36">
        <f>50</f>
        <v>50</v>
      </c>
      <c r="H28" s="36">
        <v>50</v>
      </c>
      <c r="I28" s="36">
        <v>30</v>
      </c>
      <c r="J28" s="38">
        <v>30</v>
      </c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105"/>
      <c r="AL28" s="107"/>
      <c r="AM28" s="109"/>
    </row>
    <row r="29" spans="2:41" ht="15.75" x14ac:dyDescent="0.25">
      <c r="B29" s="102" t="s">
        <v>23</v>
      </c>
      <c r="C29" s="28" t="s">
        <v>17</v>
      </c>
      <c r="D29" s="103" t="s">
        <v>22</v>
      </c>
      <c r="E29" s="3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104">
        <f>SUM(F30:AJ30)</f>
        <v>186</v>
      </c>
      <c r="AL29" s="106">
        <f>SUM(F29:AJ29)</f>
        <v>0</v>
      </c>
      <c r="AM29" s="108" t="e">
        <f t="shared" si="0"/>
        <v>#DIV/0!</v>
      </c>
      <c r="AO29" s="60"/>
    </row>
    <row r="30" spans="2:41" ht="18.75" x14ac:dyDescent="0.25">
      <c r="B30" s="102"/>
      <c r="C30" s="28" t="s">
        <v>16</v>
      </c>
      <c r="D30" s="103"/>
      <c r="E30" s="34">
        <f>1332+AK29</f>
        <v>1518</v>
      </c>
      <c r="F30" s="37">
        <v>56</v>
      </c>
      <c r="G30" s="38">
        <v>40</v>
      </c>
      <c r="H30" s="38">
        <f>40</f>
        <v>40</v>
      </c>
      <c r="I30" s="38">
        <v>50</v>
      </c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105"/>
      <c r="AL30" s="107"/>
      <c r="AM30" s="109"/>
    </row>
    <row r="31" spans="2:41" ht="31.5" x14ac:dyDescent="0.25">
      <c r="B31" s="101" t="s">
        <v>24</v>
      </c>
      <c r="C31" s="39" t="s">
        <v>25</v>
      </c>
      <c r="D31" s="29" t="s">
        <v>22</v>
      </c>
      <c r="E31" s="40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>
        <f>AK27+AK29</f>
        <v>406</v>
      </c>
      <c r="AL31" s="42">
        <f>AL27+AL29</f>
        <v>0</v>
      </c>
      <c r="AM31" s="33" t="e">
        <f t="shared" si="0"/>
        <v>#DIV/0!</v>
      </c>
    </row>
    <row r="32" spans="2:41" ht="31.5" x14ac:dyDescent="0.25">
      <c r="B32" s="101"/>
      <c r="C32" s="39" t="s">
        <v>26</v>
      </c>
      <c r="D32" s="29" t="s">
        <v>22</v>
      </c>
      <c r="E32" s="43">
        <f>10594+AK32</f>
        <v>11000</v>
      </c>
      <c r="F32" s="44">
        <f>+F30+F28</f>
        <v>116</v>
      </c>
      <c r="G32" s="45">
        <f>+G30+G28</f>
        <v>90</v>
      </c>
      <c r="H32" s="45">
        <f t="shared" ref="H32:AJ51" si="2">+H30+H28</f>
        <v>90</v>
      </c>
      <c r="I32" s="45">
        <f t="shared" si="2"/>
        <v>80</v>
      </c>
      <c r="J32" s="45">
        <f t="shared" si="2"/>
        <v>30</v>
      </c>
      <c r="K32" s="45">
        <f t="shared" si="2"/>
        <v>0</v>
      </c>
      <c r="L32" s="45">
        <f t="shared" si="2"/>
        <v>0</v>
      </c>
      <c r="M32" s="45">
        <f t="shared" si="2"/>
        <v>0</v>
      </c>
      <c r="N32" s="45">
        <f t="shared" si="2"/>
        <v>0</v>
      </c>
      <c r="O32" s="45">
        <f t="shared" si="2"/>
        <v>0</v>
      </c>
      <c r="P32" s="45">
        <f t="shared" si="2"/>
        <v>0</v>
      </c>
      <c r="Q32" s="45">
        <f t="shared" si="2"/>
        <v>0</v>
      </c>
      <c r="R32" s="45">
        <f t="shared" si="2"/>
        <v>0</v>
      </c>
      <c r="S32" s="45">
        <f t="shared" si="2"/>
        <v>0</v>
      </c>
      <c r="T32" s="45">
        <f t="shared" si="2"/>
        <v>0</v>
      </c>
      <c r="U32" s="45">
        <f t="shared" si="2"/>
        <v>0</v>
      </c>
      <c r="V32" s="45">
        <f t="shared" si="2"/>
        <v>0</v>
      </c>
      <c r="W32" s="45">
        <f t="shared" si="2"/>
        <v>0</v>
      </c>
      <c r="X32" s="45">
        <f t="shared" si="2"/>
        <v>0</v>
      </c>
      <c r="Y32" s="45">
        <f t="shared" si="2"/>
        <v>0</v>
      </c>
      <c r="Z32" s="45">
        <f t="shared" si="2"/>
        <v>0</v>
      </c>
      <c r="AA32" s="45">
        <f t="shared" si="2"/>
        <v>0</v>
      </c>
      <c r="AB32" s="45">
        <f t="shared" si="2"/>
        <v>0</v>
      </c>
      <c r="AC32" s="45">
        <f t="shared" si="2"/>
        <v>0</v>
      </c>
      <c r="AD32" s="45">
        <f t="shared" si="2"/>
        <v>0</v>
      </c>
      <c r="AE32" s="45">
        <f t="shared" si="2"/>
        <v>0</v>
      </c>
      <c r="AF32" s="45">
        <f t="shared" si="2"/>
        <v>0</v>
      </c>
      <c r="AG32" s="45">
        <f t="shared" si="2"/>
        <v>0</v>
      </c>
      <c r="AH32" s="45">
        <f t="shared" si="2"/>
        <v>0</v>
      </c>
      <c r="AI32" s="45">
        <f t="shared" si="2"/>
        <v>0</v>
      </c>
      <c r="AJ32" s="45">
        <f t="shared" si="2"/>
        <v>0</v>
      </c>
      <c r="AK32" s="46">
        <f>SUM(F32:AJ32)</f>
        <v>406</v>
      </c>
      <c r="AL32" s="47">
        <f>AL31</f>
        <v>0</v>
      </c>
      <c r="AM32" s="48" t="e">
        <f t="shared" si="0"/>
        <v>#DIV/0!</v>
      </c>
    </row>
    <row r="33" spans="2:41" ht="15.75" x14ac:dyDescent="0.25">
      <c r="B33" s="50" t="s">
        <v>18</v>
      </c>
      <c r="C33" s="51" t="s">
        <v>27</v>
      </c>
      <c r="D33" s="52" t="s">
        <v>22</v>
      </c>
      <c r="E33" s="53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5"/>
      <c r="AL33" s="56"/>
      <c r="AM33" s="57"/>
    </row>
    <row r="34" spans="2:41" ht="29.25" customHeight="1" x14ac:dyDescent="0.25">
      <c r="B34" s="110" t="s">
        <v>34</v>
      </c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2"/>
    </row>
    <row r="35" spans="2:41" ht="15.75" x14ac:dyDescent="0.25">
      <c r="B35" s="115" t="s">
        <v>20</v>
      </c>
      <c r="C35" s="116"/>
      <c r="D35" s="22"/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5"/>
      <c r="AL35" s="26"/>
      <c r="AM35" s="27"/>
    </row>
    <row r="36" spans="2:41" ht="15.75" x14ac:dyDescent="0.25">
      <c r="B36" s="102" t="s">
        <v>21</v>
      </c>
      <c r="C36" s="28" t="s">
        <v>17</v>
      </c>
      <c r="D36" s="103" t="s">
        <v>22</v>
      </c>
      <c r="E36" s="30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104">
        <f>SUM(F37:AJ37)</f>
        <v>1980</v>
      </c>
      <c r="AL36" s="106">
        <f>SUM(F36:AJ36)</f>
        <v>0</v>
      </c>
      <c r="AM36" s="108" t="e">
        <f t="shared" si="0"/>
        <v>#DIV/0!</v>
      </c>
      <c r="AO36" s="60"/>
    </row>
    <row r="37" spans="2:41" ht="18.75" x14ac:dyDescent="0.25">
      <c r="B37" s="102"/>
      <c r="C37" s="28" t="s">
        <v>16</v>
      </c>
      <c r="D37" s="103"/>
      <c r="E37" s="34">
        <f>+AK36</f>
        <v>1980</v>
      </c>
      <c r="F37" s="35"/>
      <c r="G37" s="36"/>
      <c r="H37" s="36"/>
      <c r="I37" s="36"/>
      <c r="J37" s="38"/>
      <c r="K37" s="36"/>
      <c r="L37" s="36"/>
      <c r="M37" s="36"/>
      <c r="N37" s="36"/>
      <c r="O37" s="36"/>
      <c r="P37" s="36"/>
      <c r="Q37" s="36">
        <v>200</v>
      </c>
      <c r="R37" s="36">
        <f>330</f>
        <v>330</v>
      </c>
      <c r="S37" s="36">
        <f>250+690</f>
        <v>940</v>
      </c>
      <c r="T37" s="36">
        <f>390+120</f>
        <v>510</v>
      </c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105"/>
      <c r="AL37" s="107"/>
      <c r="AM37" s="109"/>
    </row>
    <row r="38" spans="2:41" ht="15.75" x14ac:dyDescent="0.25">
      <c r="B38" s="102" t="s">
        <v>23</v>
      </c>
      <c r="C38" s="28" t="s">
        <v>17</v>
      </c>
      <c r="D38" s="103" t="s">
        <v>22</v>
      </c>
      <c r="E38" s="30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104">
        <f>SUM(F39:AJ39)</f>
        <v>0</v>
      </c>
      <c r="AL38" s="106">
        <f>SUM(F38:AJ38)</f>
        <v>0</v>
      </c>
      <c r="AM38" s="108" t="e">
        <f t="shared" si="0"/>
        <v>#DIV/0!</v>
      </c>
      <c r="AO38" s="60"/>
    </row>
    <row r="39" spans="2:41" ht="18.75" x14ac:dyDescent="0.25">
      <c r="B39" s="102"/>
      <c r="C39" s="28" t="s">
        <v>16</v>
      </c>
      <c r="D39" s="103"/>
      <c r="E39" s="34">
        <f>+AK38</f>
        <v>0</v>
      </c>
      <c r="F39" s="37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105"/>
      <c r="AL39" s="107"/>
      <c r="AM39" s="109"/>
    </row>
    <row r="40" spans="2:41" ht="31.5" x14ac:dyDescent="0.25">
      <c r="B40" s="101" t="s">
        <v>24</v>
      </c>
      <c r="C40" s="39" t="s">
        <v>25</v>
      </c>
      <c r="D40" s="29" t="s">
        <v>22</v>
      </c>
      <c r="E40" s="40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>
        <f>AK36+AK38</f>
        <v>1980</v>
      </c>
      <c r="AL40" s="42">
        <f>AL36+AL38</f>
        <v>0</v>
      </c>
      <c r="AM40" s="33" t="e">
        <f t="shared" si="0"/>
        <v>#DIV/0!</v>
      </c>
    </row>
    <row r="41" spans="2:41" ht="31.5" x14ac:dyDescent="0.25">
      <c r="B41" s="101"/>
      <c r="C41" s="39" t="s">
        <v>26</v>
      </c>
      <c r="D41" s="29" t="s">
        <v>22</v>
      </c>
      <c r="E41" s="43">
        <f>+AK41</f>
        <v>1980</v>
      </c>
      <c r="F41" s="44">
        <f>+F39+F37</f>
        <v>0</v>
      </c>
      <c r="G41" s="45">
        <f>+G39+G37</f>
        <v>0</v>
      </c>
      <c r="H41" s="45">
        <f t="shared" si="2"/>
        <v>0</v>
      </c>
      <c r="I41" s="45">
        <f t="shared" si="2"/>
        <v>0</v>
      </c>
      <c r="J41" s="45">
        <f t="shared" si="2"/>
        <v>0</v>
      </c>
      <c r="K41" s="45">
        <f t="shared" si="2"/>
        <v>0</v>
      </c>
      <c r="L41" s="45">
        <f t="shared" si="2"/>
        <v>0</v>
      </c>
      <c r="M41" s="45">
        <f t="shared" si="2"/>
        <v>0</v>
      </c>
      <c r="N41" s="45">
        <f t="shared" si="2"/>
        <v>0</v>
      </c>
      <c r="O41" s="45">
        <f t="shared" si="2"/>
        <v>0</v>
      </c>
      <c r="P41" s="45">
        <f t="shared" si="2"/>
        <v>0</v>
      </c>
      <c r="Q41" s="45">
        <f t="shared" si="2"/>
        <v>200</v>
      </c>
      <c r="R41" s="45">
        <f t="shared" si="2"/>
        <v>330</v>
      </c>
      <c r="S41" s="45">
        <f t="shared" si="2"/>
        <v>940</v>
      </c>
      <c r="T41" s="45">
        <f t="shared" si="2"/>
        <v>510</v>
      </c>
      <c r="U41" s="45">
        <f t="shared" si="2"/>
        <v>0</v>
      </c>
      <c r="V41" s="45">
        <f t="shared" si="2"/>
        <v>0</v>
      </c>
      <c r="W41" s="45">
        <f t="shared" si="2"/>
        <v>0</v>
      </c>
      <c r="X41" s="45">
        <f t="shared" si="2"/>
        <v>0</v>
      </c>
      <c r="Y41" s="45">
        <f t="shared" si="2"/>
        <v>0</v>
      </c>
      <c r="Z41" s="45">
        <f t="shared" si="2"/>
        <v>0</v>
      </c>
      <c r="AA41" s="45">
        <f t="shared" si="2"/>
        <v>0</v>
      </c>
      <c r="AB41" s="45">
        <f t="shared" si="2"/>
        <v>0</v>
      </c>
      <c r="AC41" s="45">
        <f t="shared" si="2"/>
        <v>0</v>
      </c>
      <c r="AD41" s="45">
        <f t="shared" si="2"/>
        <v>0</v>
      </c>
      <c r="AE41" s="45">
        <f t="shared" si="2"/>
        <v>0</v>
      </c>
      <c r="AF41" s="45">
        <f t="shared" si="2"/>
        <v>0</v>
      </c>
      <c r="AG41" s="45">
        <f t="shared" si="2"/>
        <v>0</v>
      </c>
      <c r="AH41" s="45">
        <f t="shared" si="2"/>
        <v>0</v>
      </c>
      <c r="AI41" s="45">
        <f t="shared" si="2"/>
        <v>0</v>
      </c>
      <c r="AJ41" s="45">
        <f t="shared" si="2"/>
        <v>0</v>
      </c>
      <c r="AK41" s="46">
        <f>SUM(F41:AJ41)</f>
        <v>1980</v>
      </c>
      <c r="AL41" s="47">
        <f>AL40</f>
        <v>0</v>
      </c>
      <c r="AM41" s="48" t="e">
        <f t="shared" si="0"/>
        <v>#DIV/0!</v>
      </c>
    </row>
    <row r="42" spans="2:41" ht="15.75" x14ac:dyDescent="0.25">
      <c r="B42" s="50" t="s">
        <v>18</v>
      </c>
      <c r="C42" s="51" t="s">
        <v>27</v>
      </c>
      <c r="D42" s="52" t="s">
        <v>22</v>
      </c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5"/>
      <c r="AL42" s="56"/>
      <c r="AM42" s="57"/>
    </row>
    <row r="43" spans="2:41" ht="29.25" customHeight="1" x14ac:dyDescent="0.25">
      <c r="B43" s="110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2"/>
    </row>
    <row r="44" spans="2:41" ht="29.25" customHeight="1" x14ac:dyDescent="0.25">
      <c r="B44" s="110" t="s">
        <v>30</v>
      </c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2"/>
    </row>
    <row r="45" spans="2:41" ht="30.75" customHeight="1" x14ac:dyDescent="0.25">
      <c r="B45" s="113" t="s">
        <v>31</v>
      </c>
      <c r="C45" s="114"/>
      <c r="D45" s="22"/>
      <c r="E45" s="23"/>
      <c r="F45" s="59">
        <v>20</v>
      </c>
      <c r="G45" s="59">
        <v>20</v>
      </c>
      <c r="H45" s="59">
        <v>20</v>
      </c>
      <c r="I45" s="59">
        <v>20</v>
      </c>
      <c r="J45" s="59">
        <v>20</v>
      </c>
      <c r="K45" s="59">
        <v>20</v>
      </c>
      <c r="L45" s="59">
        <v>20</v>
      </c>
      <c r="M45" s="59">
        <f>20</f>
        <v>20</v>
      </c>
      <c r="N45" s="59">
        <v>20</v>
      </c>
      <c r="O45" s="59">
        <v>20</v>
      </c>
      <c r="P45" s="59">
        <v>19</v>
      </c>
      <c r="Q45" s="59">
        <v>19</v>
      </c>
      <c r="R45" s="59">
        <v>19</v>
      </c>
      <c r="S45" s="59"/>
      <c r="T45" s="59"/>
      <c r="U45" s="59">
        <v>19</v>
      </c>
      <c r="V45" s="59">
        <v>19</v>
      </c>
      <c r="W45" s="59">
        <v>19</v>
      </c>
      <c r="X45" s="59">
        <v>19</v>
      </c>
      <c r="Y45" s="59">
        <v>19</v>
      </c>
      <c r="Z45" s="59">
        <v>19</v>
      </c>
      <c r="AA45" s="59">
        <v>19</v>
      </c>
      <c r="AB45" s="59">
        <v>19</v>
      </c>
      <c r="AC45" s="59"/>
      <c r="AD45" s="59"/>
      <c r="AE45" s="59"/>
      <c r="AF45" s="59"/>
      <c r="AG45" s="59"/>
      <c r="AH45" s="59"/>
      <c r="AI45" s="59"/>
      <c r="AJ45" s="59"/>
      <c r="AK45" s="25"/>
      <c r="AL45" s="26"/>
      <c r="AM45" s="27"/>
    </row>
    <row r="46" spans="2:41" ht="15.75" x14ac:dyDescent="0.25">
      <c r="B46" s="102" t="s">
        <v>21</v>
      </c>
      <c r="C46" s="28" t="s">
        <v>17</v>
      </c>
      <c r="D46" s="103" t="s">
        <v>22</v>
      </c>
      <c r="E46" s="30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104">
        <f>SUM(F47:AJ47)</f>
        <v>11005</v>
      </c>
      <c r="AL46" s="106">
        <f>SUM(F46:AJ46)</f>
        <v>0</v>
      </c>
      <c r="AM46" s="108" t="e">
        <f t="shared" si="0"/>
        <v>#DIV/0!</v>
      </c>
      <c r="AO46" s="60"/>
    </row>
    <row r="47" spans="2:41" ht="18.75" x14ac:dyDescent="0.25">
      <c r="B47" s="102"/>
      <c r="C47" s="28" t="s">
        <v>16</v>
      </c>
      <c r="D47" s="103"/>
      <c r="E47" s="34">
        <f>3573+AK46</f>
        <v>14578</v>
      </c>
      <c r="F47" s="35">
        <v>405</v>
      </c>
      <c r="G47" s="36">
        <f>346+80</f>
        <v>426</v>
      </c>
      <c r="H47" s="36">
        <v>120</v>
      </c>
      <c r="I47" s="36">
        <f>140+132</f>
        <v>272</v>
      </c>
      <c r="J47" s="38">
        <f>250+180</f>
        <v>430</v>
      </c>
      <c r="K47" s="36">
        <f>298+156</f>
        <v>454</v>
      </c>
      <c r="L47" s="36">
        <f>340+132</f>
        <v>472</v>
      </c>
      <c r="M47" s="36">
        <f>388+162</f>
        <v>550</v>
      </c>
      <c r="N47" s="36">
        <v>392</v>
      </c>
      <c r="O47" s="36">
        <f>200+180</f>
        <v>380</v>
      </c>
      <c r="P47" s="36">
        <f>230+232</f>
        <v>462</v>
      </c>
      <c r="Q47" s="36">
        <f>372+264</f>
        <v>636</v>
      </c>
      <c r="R47" s="36">
        <f>380+94</f>
        <v>474</v>
      </c>
      <c r="S47" s="36"/>
      <c r="T47" s="36"/>
      <c r="U47" s="36">
        <f>136+122</f>
        <v>258</v>
      </c>
      <c r="V47" s="36">
        <f>304+324</f>
        <v>628</v>
      </c>
      <c r="W47" s="36">
        <f>394+388</f>
        <v>782</v>
      </c>
      <c r="X47" s="36">
        <f>362+314</f>
        <v>676</v>
      </c>
      <c r="Y47" s="36">
        <f>216+368</f>
        <v>584</v>
      </c>
      <c r="Z47" s="36">
        <f>536+386</f>
        <v>922</v>
      </c>
      <c r="AA47" s="36">
        <f>544+340</f>
        <v>884</v>
      </c>
      <c r="AB47" s="36">
        <f>540+258</f>
        <v>798</v>
      </c>
      <c r="AC47" s="36"/>
      <c r="AD47" s="36"/>
      <c r="AE47" s="36"/>
      <c r="AF47" s="36"/>
      <c r="AG47" s="36"/>
      <c r="AH47" s="36"/>
      <c r="AI47" s="36"/>
      <c r="AJ47" s="36"/>
      <c r="AK47" s="105"/>
      <c r="AL47" s="107"/>
      <c r="AM47" s="109"/>
    </row>
    <row r="48" spans="2:41" ht="15.75" x14ac:dyDescent="0.25">
      <c r="B48" s="102" t="s">
        <v>23</v>
      </c>
      <c r="C48" s="28" t="s">
        <v>17</v>
      </c>
      <c r="D48" s="103" t="s">
        <v>22</v>
      </c>
      <c r="E48" s="30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104">
        <f>SUM(F49:AJ49)</f>
        <v>0</v>
      </c>
      <c r="AL48" s="106">
        <f>SUM(F48:AJ48)</f>
        <v>0</v>
      </c>
      <c r="AM48" s="108" t="e">
        <f t="shared" si="0"/>
        <v>#DIV/0!</v>
      </c>
    </row>
    <row r="49" spans="2:39" ht="18.75" x14ac:dyDescent="0.25">
      <c r="B49" s="102"/>
      <c r="C49" s="28" t="s">
        <v>16</v>
      </c>
      <c r="D49" s="103"/>
      <c r="E49" s="34"/>
      <c r="F49" s="37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105"/>
      <c r="AL49" s="107"/>
      <c r="AM49" s="109"/>
    </row>
    <row r="50" spans="2:39" ht="31.5" x14ac:dyDescent="0.25">
      <c r="B50" s="101" t="s">
        <v>24</v>
      </c>
      <c r="C50" s="39" t="s">
        <v>25</v>
      </c>
      <c r="D50" s="29" t="s">
        <v>22</v>
      </c>
      <c r="E50" s="40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>
        <f>AK46+AK48</f>
        <v>11005</v>
      </c>
      <c r="AL50" s="42">
        <f>AL46+AL48</f>
        <v>0</v>
      </c>
      <c r="AM50" s="33" t="e">
        <f t="shared" si="0"/>
        <v>#DIV/0!</v>
      </c>
    </row>
    <row r="51" spans="2:39" ht="31.5" x14ac:dyDescent="0.25">
      <c r="B51" s="101"/>
      <c r="C51" s="39" t="s">
        <v>26</v>
      </c>
      <c r="D51" s="29" t="s">
        <v>22</v>
      </c>
      <c r="E51" s="43">
        <f>10594+AK51</f>
        <v>21599</v>
      </c>
      <c r="F51" s="44">
        <f>+F49+F47</f>
        <v>405</v>
      </c>
      <c r="G51" s="45">
        <f>+G49+G47</f>
        <v>426</v>
      </c>
      <c r="H51" s="45">
        <f t="shared" si="2"/>
        <v>120</v>
      </c>
      <c r="I51" s="45">
        <f t="shared" si="2"/>
        <v>272</v>
      </c>
      <c r="J51" s="45">
        <f t="shared" si="2"/>
        <v>430</v>
      </c>
      <c r="K51" s="45">
        <f t="shared" si="2"/>
        <v>454</v>
      </c>
      <c r="L51" s="45">
        <f t="shared" si="2"/>
        <v>472</v>
      </c>
      <c r="M51" s="45">
        <f t="shared" si="2"/>
        <v>550</v>
      </c>
      <c r="N51" s="45">
        <f t="shared" si="2"/>
        <v>392</v>
      </c>
      <c r="O51" s="45">
        <f t="shared" si="2"/>
        <v>380</v>
      </c>
      <c r="P51" s="45">
        <f t="shared" si="2"/>
        <v>462</v>
      </c>
      <c r="Q51" s="45">
        <f t="shared" si="2"/>
        <v>636</v>
      </c>
      <c r="R51" s="45">
        <f t="shared" si="2"/>
        <v>474</v>
      </c>
      <c r="S51" s="45">
        <f t="shared" si="2"/>
        <v>0</v>
      </c>
      <c r="T51" s="45">
        <f t="shared" si="2"/>
        <v>0</v>
      </c>
      <c r="U51" s="45">
        <f t="shared" si="2"/>
        <v>258</v>
      </c>
      <c r="V51" s="45">
        <f t="shared" si="2"/>
        <v>628</v>
      </c>
      <c r="W51" s="45">
        <f t="shared" si="2"/>
        <v>782</v>
      </c>
      <c r="X51" s="45">
        <f t="shared" si="2"/>
        <v>676</v>
      </c>
      <c r="Y51" s="45">
        <f t="shared" si="2"/>
        <v>584</v>
      </c>
      <c r="Z51" s="45">
        <f t="shared" si="2"/>
        <v>922</v>
      </c>
      <c r="AA51" s="45">
        <f t="shared" si="2"/>
        <v>884</v>
      </c>
      <c r="AB51" s="45">
        <f t="shared" si="2"/>
        <v>798</v>
      </c>
      <c r="AC51" s="45">
        <f t="shared" si="2"/>
        <v>0</v>
      </c>
      <c r="AD51" s="45">
        <f t="shared" si="2"/>
        <v>0</v>
      </c>
      <c r="AE51" s="45">
        <f t="shared" si="2"/>
        <v>0</v>
      </c>
      <c r="AF51" s="45">
        <f t="shared" si="2"/>
        <v>0</v>
      </c>
      <c r="AG51" s="45">
        <f t="shared" si="2"/>
        <v>0</v>
      </c>
      <c r="AH51" s="45">
        <f t="shared" si="2"/>
        <v>0</v>
      </c>
      <c r="AI51" s="45">
        <f t="shared" si="2"/>
        <v>0</v>
      </c>
      <c r="AJ51" s="45">
        <f t="shared" si="2"/>
        <v>0</v>
      </c>
      <c r="AK51" s="46">
        <f>SUM(F51:AJ51)</f>
        <v>11005</v>
      </c>
      <c r="AL51" s="47">
        <f>AL50</f>
        <v>0</v>
      </c>
      <c r="AM51" s="48" t="e">
        <f t="shared" si="0"/>
        <v>#DIV/0!</v>
      </c>
    </row>
    <row r="52" spans="2:39" ht="15.75" x14ac:dyDescent="0.25">
      <c r="B52" s="50" t="s">
        <v>18</v>
      </c>
      <c r="C52" s="51" t="s">
        <v>27</v>
      </c>
      <c r="D52" s="52" t="s">
        <v>22</v>
      </c>
      <c r="E52" s="53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5"/>
      <c r="AL52" s="56"/>
      <c r="AM52" s="57"/>
    </row>
  </sheetData>
  <mergeCells count="75">
    <mergeCell ref="O2:Z2"/>
    <mergeCell ref="AH2:AM2"/>
    <mergeCell ref="B3:AM3"/>
    <mergeCell ref="B4:D4"/>
    <mergeCell ref="E4:E6"/>
    <mergeCell ref="F4:AM4"/>
    <mergeCell ref="B5:D5"/>
    <mergeCell ref="AK5:AM5"/>
    <mergeCell ref="B6:D6"/>
    <mergeCell ref="B7:AM7"/>
    <mergeCell ref="B8:C8"/>
    <mergeCell ref="B9:B10"/>
    <mergeCell ref="D9:D10"/>
    <mergeCell ref="AK9:AK10"/>
    <mergeCell ref="AL9:AL10"/>
    <mergeCell ref="AM9:AM10"/>
    <mergeCell ref="B11:B12"/>
    <mergeCell ref="D11:D12"/>
    <mergeCell ref="AK11:AK12"/>
    <mergeCell ref="AL11:AL12"/>
    <mergeCell ref="AM11:AM12"/>
    <mergeCell ref="B13:B14"/>
    <mergeCell ref="B16:AM16"/>
    <mergeCell ref="B17:C17"/>
    <mergeCell ref="B18:B19"/>
    <mergeCell ref="D18:D19"/>
    <mergeCell ref="AK18:AK19"/>
    <mergeCell ref="AL18:AL19"/>
    <mergeCell ref="AM18:AM19"/>
    <mergeCell ref="B20:B21"/>
    <mergeCell ref="D20:D21"/>
    <mergeCell ref="AK20:AK21"/>
    <mergeCell ref="AL20:AL21"/>
    <mergeCell ref="AM20:AM21"/>
    <mergeCell ref="B22:B23"/>
    <mergeCell ref="B25:AM25"/>
    <mergeCell ref="B26:C26"/>
    <mergeCell ref="B27:B28"/>
    <mergeCell ref="D27:D28"/>
    <mergeCell ref="AK27:AK28"/>
    <mergeCell ref="AL27:AL28"/>
    <mergeCell ref="AM27:AM28"/>
    <mergeCell ref="B29:B30"/>
    <mergeCell ref="D29:D30"/>
    <mergeCell ref="AK29:AK30"/>
    <mergeCell ref="AL29:AL30"/>
    <mergeCell ref="AM29:AM30"/>
    <mergeCell ref="B31:B32"/>
    <mergeCell ref="B34:AM34"/>
    <mergeCell ref="B35:C35"/>
    <mergeCell ref="B36:B37"/>
    <mergeCell ref="D36:D37"/>
    <mergeCell ref="AK36:AK37"/>
    <mergeCell ref="AL36:AL37"/>
    <mergeCell ref="AM36:AM37"/>
    <mergeCell ref="B38:B39"/>
    <mergeCell ref="D38:D39"/>
    <mergeCell ref="AK38:AK39"/>
    <mergeCell ref="AL38:AL39"/>
    <mergeCell ref="AM38:AM39"/>
    <mergeCell ref="AM48:AM49"/>
    <mergeCell ref="B40:B41"/>
    <mergeCell ref="B43:AM43"/>
    <mergeCell ref="B44:AM44"/>
    <mergeCell ref="B45:C45"/>
    <mergeCell ref="B46:B47"/>
    <mergeCell ref="D46:D47"/>
    <mergeCell ref="AK46:AK47"/>
    <mergeCell ref="AL46:AL47"/>
    <mergeCell ref="AM46:AM47"/>
    <mergeCell ref="B50:B51"/>
    <mergeCell ref="B48:B49"/>
    <mergeCell ref="D48:D49"/>
    <mergeCell ref="AK48:AK49"/>
    <mergeCell ref="AL48:AL49"/>
  </mergeCells>
  <pageMargins left="0.70866099999999987" right="0.70866099999999987" top="0.748031" bottom="0.748031" header="0.31496099999999999" footer="0.31496099999999999"/>
  <pageSetup paperSize="9" scale="2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>
    <pageSetUpPr fitToPage="1"/>
  </sheetPr>
  <dimension ref="A2:BR98"/>
  <sheetViews>
    <sheetView topLeftCell="B1" zoomScale="55" workbookViewId="0">
      <pane ySplit="6" topLeftCell="A55" activePane="bottomLeft" state="frozen"/>
      <selection activeCell="AH2" sqref="AH2:AM2"/>
      <selection pane="bottomLeft" activeCell="AH2" sqref="AH2:AM2"/>
    </sheetView>
  </sheetViews>
  <sheetFormatPr defaultRowHeight="15" customHeight="1" x14ac:dyDescent="0.25"/>
  <cols>
    <col min="1" max="1" width="10.5703125" style="21" hidden="1" customWidth="1"/>
    <col min="2" max="2" width="9.42578125" style="21" customWidth="1"/>
    <col min="3" max="3" width="14.140625" style="21" customWidth="1"/>
    <col min="4" max="4" width="7.140625" style="21" customWidth="1"/>
    <col min="5" max="5" width="10.85546875" style="21" customWidth="1"/>
    <col min="6" max="10" width="10.28515625" style="21" customWidth="1"/>
    <col min="11" max="11" width="11.5703125" style="21" customWidth="1"/>
    <col min="12" max="34" width="10.28515625" style="21" customWidth="1"/>
    <col min="35" max="35" width="10.5703125" style="21" customWidth="1"/>
    <col min="36" max="36" width="10.5703125" style="21" hidden="1" customWidth="1"/>
    <col min="37" max="37" width="10.5703125" style="21" customWidth="1"/>
    <col min="38" max="38" width="10.7109375" style="21" customWidth="1"/>
    <col min="39" max="39" width="11.7109375" style="21" customWidth="1"/>
    <col min="40" max="40" width="10.5703125" style="21" customWidth="1"/>
    <col min="41" max="16384" width="9.140625" style="21"/>
  </cols>
  <sheetData>
    <row r="2" spans="1:70" s="1" customFormat="1" ht="30" customHeigh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3"/>
      <c r="AB2" s="3"/>
      <c r="AC2" s="3"/>
      <c r="AD2" s="3"/>
      <c r="AE2" s="3"/>
      <c r="AF2" s="3"/>
      <c r="AG2" s="3"/>
      <c r="AH2" s="118" t="s">
        <v>91</v>
      </c>
      <c r="AI2" s="118"/>
      <c r="AJ2" s="118"/>
      <c r="AK2" s="118"/>
      <c r="AL2" s="118"/>
      <c r="AM2" s="118"/>
      <c r="AN2" s="4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3"/>
      <c r="BO2" s="3"/>
      <c r="BP2" s="3"/>
      <c r="BQ2" s="3"/>
      <c r="BR2" s="3"/>
    </row>
    <row r="3" spans="1:70" s="1" customFormat="1" ht="30" customHeight="1" x14ac:dyDescent="0.25">
      <c r="A3" s="6" t="s">
        <v>1</v>
      </c>
      <c r="B3" s="119" t="s">
        <v>2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7"/>
    </row>
    <row r="4" spans="1:70" s="1" customFormat="1" ht="30" customHeight="1" x14ac:dyDescent="0.25">
      <c r="A4" s="8"/>
      <c r="B4" s="120" t="s">
        <v>3</v>
      </c>
      <c r="C4" s="121"/>
      <c r="D4" s="122"/>
      <c r="E4" s="123" t="s">
        <v>4</v>
      </c>
      <c r="F4" s="126" t="s">
        <v>89</v>
      </c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7"/>
      <c r="AN4" s="9"/>
    </row>
    <row r="5" spans="1:70" s="10" customFormat="1" ht="15" customHeight="1" x14ac:dyDescent="0.25">
      <c r="A5" s="11"/>
      <c r="B5" s="128" t="s">
        <v>6</v>
      </c>
      <c r="C5" s="129"/>
      <c r="D5" s="130"/>
      <c r="E5" s="124"/>
      <c r="F5" s="12">
        <v>1</v>
      </c>
      <c r="G5" s="13">
        <v>2</v>
      </c>
      <c r="H5" s="13">
        <v>3</v>
      </c>
      <c r="I5" s="13">
        <v>4</v>
      </c>
      <c r="J5" s="13">
        <v>5</v>
      </c>
      <c r="K5" s="13">
        <v>6</v>
      </c>
      <c r="L5" s="13">
        <v>7</v>
      </c>
      <c r="M5" s="13">
        <v>8</v>
      </c>
      <c r="N5" s="13">
        <v>9</v>
      </c>
      <c r="O5" s="13">
        <v>10</v>
      </c>
      <c r="P5" s="13">
        <v>11</v>
      </c>
      <c r="Q5" s="13">
        <v>12</v>
      </c>
      <c r="R5" s="13">
        <v>13</v>
      </c>
      <c r="S5" s="13">
        <v>14</v>
      </c>
      <c r="T5" s="13">
        <v>15</v>
      </c>
      <c r="U5" s="13">
        <v>16</v>
      </c>
      <c r="V5" s="13">
        <v>17</v>
      </c>
      <c r="W5" s="13">
        <v>18</v>
      </c>
      <c r="X5" s="13">
        <v>19</v>
      </c>
      <c r="Y5" s="13">
        <v>20</v>
      </c>
      <c r="Z5" s="13">
        <v>21</v>
      </c>
      <c r="AA5" s="13">
        <v>22</v>
      </c>
      <c r="AB5" s="13">
        <v>23</v>
      </c>
      <c r="AC5" s="13">
        <v>24</v>
      </c>
      <c r="AD5" s="13">
        <v>25</v>
      </c>
      <c r="AE5" s="13">
        <v>26</v>
      </c>
      <c r="AF5" s="13">
        <v>27</v>
      </c>
      <c r="AG5" s="14">
        <v>28</v>
      </c>
      <c r="AH5" s="13">
        <v>29</v>
      </c>
      <c r="AI5" s="14">
        <v>30</v>
      </c>
      <c r="AJ5" s="14">
        <v>31</v>
      </c>
      <c r="AK5" s="131" t="s">
        <v>7</v>
      </c>
      <c r="AL5" s="131"/>
      <c r="AM5" s="132"/>
      <c r="AN5" s="15"/>
    </row>
    <row r="6" spans="1:70" s="10" customFormat="1" ht="18.75" x14ac:dyDescent="0.25">
      <c r="A6" s="16"/>
      <c r="B6" s="133" t="s">
        <v>8</v>
      </c>
      <c r="C6" s="134"/>
      <c r="D6" s="135"/>
      <c r="E6" s="125"/>
      <c r="F6" s="17" t="s">
        <v>12</v>
      </c>
      <c r="G6" s="17" t="s">
        <v>13</v>
      </c>
      <c r="H6" s="17" t="s">
        <v>14</v>
      </c>
      <c r="I6" s="17" t="s">
        <v>15</v>
      </c>
      <c r="J6" s="17" t="s">
        <v>9</v>
      </c>
      <c r="K6" s="17" t="s">
        <v>10</v>
      </c>
      <c r="L6" s="17" t="s">
        <v>11</v>
      </c>
      <c r="M6" s="17" t="s">
        <v>12</v>
      </c>
      <c r="N6" s="17" t="s">
        <v>13</v>
      </c>
      <c r="O6" s="17" t="s">
        <v>14</v>
      </c>
      <c r="P6" s="17" t="s">
        <v>15</v>
      </c>
      <c r="Q6" s="17" t="s">
        <v>9</v>
      </c>
      <c r="R6" s="17" t="s">
        <v>10</v>
      </c>
      <c r="S6" s="17" t="s">
        <v>11</v>
      </c>
      <c r="T6" s="17" t="s">
        <v>12</v>
      </c>
      <c r="U6" s="17" t="s">
        <v>13</v>
      </c>
      <c r="V6" s="17" t="s">
        <v>14</v>
      </c>
      <c r="W6" s="17" t="s">
        <v>15</v>
      </c>
      <c r="X6" s="17" t="s">
        <v>9</v>
      </c>
      <c r="Y6" s="17" t="s">
        <v>10</v>
      </c>
      <c r="Z6" s="17" t="s">
        <v>11</v>
      </c>
      <c r="AA6" s="17" t="s">
        <v>12</v>
      </c>
      <c r="AB6" s="17" t="s">
        <v>13</v>
      </c>
      <c r="AC6" s="17" t="s">
        <v>14</v>
      </c>
      <c r="AD6" s="17" t="s">
        <v>15</v>
      </c>
      <c r="AE6" s="17" t="s">
        <v>9</v>
      </c>
      <c r="AF6" s="17" t="s">
        <v>10</v>
      </c>
      <c r="AG6" s="17" t="s">
        <v>11</v>
      </c>
      <c r="AH6" s="17" t="s">
        <v>12</v>
      </c>
      <c r="AI6" s="17" t="s">
        <v>13</v>
      </c>
      <c r="AJ6" s="17" t="s">
        <v>14</v>
      </c>
      <c r="AK6" s="18" t="s">
        <v>16</v>
      </c>
      <c r="AL6" s="19" t="s">
        <v>17</v>
      </c>
      <c r="AM6" s="20" t="s">
        <v>18</v>
      </c>
      <c r="AN6" s="15"/>
    </row>
    <row r="7" spans="1:70" ht="33" customHeight="1" x14ac:dyDescent="0.25">
      <c r="B7" s="110" t="s">
        <v>19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2"/>
    </row>
    <row r="8" spans="1:70" ht="15.75" x14ac:dyDescent="0.25">
      <c r="B8" s="115" t="s">
        <v>20</v>
      </c>
      <c r="C8" s="116"/>
      <c r="D8" s="22"/>
      <c r="E8" s="23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5"/>
      <c r="AL8" s="26"/>
      <c r="AM8" s="27"/>
    </row>
    <row r="9" spans="1:70" ht="15.75" x14ac:dyDescent="0.25">
      <c r="B9" s="102" t="s">
        <v>21</v>
      </c>
      <c r="C9" s="28" t="s">
        <v>17</v>
      </c>
      <c r="D9" s="103" t="s">
        <v>22</v>
      </c>
      <c r="E9" s="30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104">
        <f>SUM(F10:AJ10)</f>
        <v>2440</v>
      </c>
      <c r="AL9" s="106">
        <f>SUM(F9:AJ9)</f>
        <v>0</v>
      </c>
      <c r="AM9" s="108" t="e">
        <f>AK9/AL9*100</f>
        <v>#DIV/0!</v>
      </c>
      <c r="AO9" s="60"/>
    </row>
    <row r="10" spans="1:70" ht="18.75" x14ac:dyDescent="0.25">
      <c r="B10" s="102"/>
      <c r="C10" s="28" t="s">
        <v>16</v>
      </c>
      <c r="D10" s="103"/>
      <c r="E10" s="34">
        <f>21022+AK9</f>
        <v>23462</v>
      </c>
      <c r="F10" s="35"/>
      <c r="G10" s="36"/>
      <c r="H10" s="36"/>
      <c r="I10" s="36"/>
      <c r="J10" s="36">
        <v>140</v>
      </c>
      <c r="K10" s="36">
        <v>70</v>
      </c>
      <c r="L10" s="36">
        <v>90</v>
      </c>
      <c r="M10" s="36">
        <f>250+30</f>
        <v>280</v>
      </c>
      <c r="N10" s="36">
        <v>200</v>
      </c>
      <c r="O10" s="36">
        <v>350</v>
      </c>
      <c r="P10" s="36">
        <v>210</v>
      </c>
      <c r="Q10" s="36">
        <v>360</v>
      </c>
      <c r="R10" s="36">
        <v>220</v>
      </c>
      <c r="S10" s="36">
        <v>20</v>
      </c>
      <c r="T10" s="36"/>
      <c r="U10" s="36">
        <v>190</v>
      </c>
      <c r="V10" s="36"/>
      <c r="W10" s="36"/>
      <c r="X10" s="36"/>
      <c r="Y10" s="36">
        <v>100</v>
      </c>
      <c r="Z10" s="36"/>
      <c r="AA10" s="36">
        <v>110</v>
      </c>
      <c r="AB10" s="36">
        <v>100</v>
      </c>
      <c r="AC10" s="36"/>
      <c r="AD10" s="36"/>
      <c r="AE10" s="36"/>
      <c r="AF10" s="36"/>
      <c r="AG10" s="36"/>
      <c r="AH10" s="36"/>
      <c r="AI10" s="36"/>
      <c r="AJ10" s="36"/>
      <c r="AK10" s="105"/>
      <c r="AL10" s="107"/>
      <c r="AM10" s="109"/>
    </row>
    <row r="11" spans="1:70" ht="15.75" x14ac:dyDescent="0.25">
      <c r="B11" s="102" t="s">
        <v>23</v>
      </c>
      <c r="C11" s="28" t="s">
        <v>17</v>
      </c>
      <c r="D11" s="103" t="s">
        <v>22</v>
      </c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04">
        <f>SUM(F12:AJ12)</f>
        <v>3030</v>
      </c>
      <c r="AL11" s="106">
        <f>SUM(F11:AJ11)</f>
        <v>0</v>
      </c>
      <c r="AM11" s="108" t="e">
        <f>AK11/AL11*100</f>
        <v>#DIV/0!</v>
      </c>
      <c r="AO11" s="60"/>
    </row>
    <row r="12" spans="1:70" ht="18.75" x14ac:dyDescent="0.25">
      <c r="B12" s="102"/>
      <c r="C12" s="28" t="s">
        <v>16</v>
      </c>
      <c r="D12" s="103"/>
      <c r="E12" s="34">
        <f>16100+AK11</f>
        <v>19130</v>
      </c>
      <c r="F12" s="37"/>
      <c r="G12" s="38"/>
      <c r="H12" s="38"/>
      <c r="I12" s="38"/>
      <c r="J12" s="38">
        <v>210</v>
      </c>
      <c r="K12" s="38">
        <v>190</v>
      </c>
      <c r="L12" s="38">
        <v>310</v>
      </c>
      <c r="M12" s="38">
        <v>470</v>
      </c>
      <c r="N12" s="38"/>
      <c r="O12" s="38">
        <v>500</v>
      </c>
      <c r="P12" s="38"/>
      <c r="Q12" s="38">
        <v>380</v>
      </c>
      <c r="R12" s="38">
        <v>310</v>
      </c>
      <c r="S12" s="38"/>
      <c r="T12" s="38"/>
      <c r="U12" s="38">
        <v>320</v>
      </c>
      <c r="V12" s="38"/>
      <c r="W12" s="38"/>
      <c r="X12" s="38"/>
      <c r="Y12" s="38">
        <v>190</v>
      </c>
      <c r="Z12" s="38"/>
      <c r="AA12" s="36">
        <v>150</v>
      </c>
      <c r="AB12" s="38"/>
      <c r="AC12" s="38"/>
      <c r="AD12" s="38"/>
      <c r="AE12" s="38"/>
      <c r="AF12" s="38"/>
      <c r="AG12" s="38"/>
      <c r="AH12" s="38"/>
      <c r="AI12" s="38"/>
      <c r="AJ12" s="38"/>
      <c r="AK12" s="105"/>
      <c r="AL12" s="107"/>
      <c r="AM12" s="109"/>
    </row>
    <row r="13" spans="1:70" ht="31.5" x14ac:dyDescent="0.25">
      <c r="B13" s="101" t="s">
        <v>24</v>
      </c>
      <c r="C13" s="39" t="s">
        <v>25</v>
      </c>
      <c r="D13" s="29" t="s">
        <v>22</v>
      </c>
      <c r="E13" s="40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>
        <f>AK9+AK11</f>
        <v>5470</v>
      </c>
      <c r="AL13" s="42">
        <f>AL9+AL11</f>
        <v>0</v>
      </c>
      <c r="AM13" s="33" t="e">
        <f t="shared" ref="AM13:AM78" si="0">AK13/AL13*100</f>
        <v>#DIV/0!</v>
      </c>
    </row>
    <row r="14" spans="1:70" ht="31.5" x14ac:dyDescent="0.25">
      <c r="B14" s="101"/>
      <c r="C14" s="39" t="s">
        <v>26</v>
      </c>
      <c r="D14" s="29" t="s">
        <v>22</v>
      </c>
      <c r="E14" s="43">
        <f>E10+E12</f>
        <v>42592</v>
      </c>
      <c r="F14" s="44">
        <f>+F12+F10</f>
        <v>0</v>
      </c>
      <c r="G14" s="45">
        <f>+G12+G10</f>
        <v>0</v>
      </c>
      <c r="H14" s="45">
        <f t="shared" ref="H14:AJ78" si="1">+H12+H10</f>
        <v>0</v>
      </c>
      <c r="I14" s="45">
        <f t="shared" si="1"/>
        <v>0</v>
      </c>
      <c r="J14" s="45">
        <f t="shared" si="1"/>
        <v>350</v>
      </c>
      <c r="K14" s="45">
        <f t="shared" si="1"/>
        <v>260</v>
      </c>
      <c r="L14" s="45">
        <f t="shared" si="1"/>
        <v>400</v>
      </c>
      <c r="M14" s="45">
        <f t="shared" si="1"/>
        <v>750</v>
      </c>
      <c r="N14" s="45">
        <f t="shared" si="1"/>
        <v>200</v>
      </c>
      <c r="O14" s="45">
        <f t="shared" si="1"/>
        <v>850</v>
      </c>
      <c r="P14" s="45">
        <f t="shared" si="1"/>
        <v>210</v>
      </c>
      <c r="Q14" s="45">
        <f t="shared" si="1"/>
        <v>740</v>
      </c>
      <c r="R14" s="45">
        <f t="shared" si="1"/>
        <v>530</v>
      </c>
      <c r="S14" s="45">
        <f>+S12+S10</f>
        <v>20</v>
      </c>
      <c r="T14" s="45">
        <f t="shared" si="1"/>
        <v>0</v>
      </c>
      <c r="U14" s="45">
        <f t="shared" si="1"/>
        <v>510</v>
      </c>
      <c r="V14" s="45">
        <f t="shared" si="1"/>
        <v>0</v>
      </c>
      <c r="W14" s="45">
        <f t="shared" si="1"/>
        <v>0</v>
      </c>
      <c r="X14" s="45">
        <f t="shared" si="1"/>
        <v>0</v>
      </c>
      <c r="Y14" s="45">
        <f t="shared" si="1"/>
        <v>290</v>
      </c>
      <c r="Z14" s="45">
        <f t="shared" si="1"/>
        <v>0</v>
      </c>
      <c r="AA14" s="45">
        <f t="shared" si="1"/>
        <v>260</v>
      </c>
      <c r="AB14" s="45">
        <f t="shared" si="1"/>
        <v>100</v>
      </c>
      <c r="AC14" s="45">
        <f t="shared" si="1"/>
        <v>0</v>
      </c>
      <c r="AD14" s="45">
        <f t="shared" si="1"/>
        <v>0</v>
      </c>
      <c r="AE14" s="45">
        <f t="shared" si="1"/>
        <v>0</v>
      </c>
      <c r="AF14" s="45">
        <f t="shared" si="1"/>
        <v>0</v>
      </c>
      <c r="AG14" s="45">
        <f t="shared" si="1"/>
        <v>0</v>
      </c>
      <c r="AH14" s="45">
        <f t="shared" si="1"/>
        <v>0</v>
      </c>
      <c r="AI14" s="45">
        <f t="shared" si="1"/>
        <v>0</v>
      </c>
      <c r="AJ14" s="45">
        <f t="shared" si="1"/>
        <v>0</v>
      </c>
      <c r="AK14" s="46">
        <f>SUM(F14:AJ14)</f>
        <v>5470</v>
      </c>
      <c r="AL14" s="47">
        <f>AL13</f>
        <v>0</v>
      </c>
      <c r="AM14" s="48" t="e">
        <f t="shared" si="0"/>
        <v>#DIV/0!</v>
      </c>
      <c r="AN14" s="49"/>
    </row>
    <row r="15" spans="1:70" ht="16.5" thickBot="1" x14ac:dyDescent="0.3">
      <c r="B15" s="50" t="s">
        <v>18</v>
      </c>
      <c r="C15" s="51" t="s">
        <v>27</v>
      </c>
      <c r="D15" s="52" t="s">
        <v>22</v>
      </c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5"/>
      <c r="AL15" s="56"/>
      <c r="AM15" s="57"/>
    </row>
    <row r="16" spans="1:70" ht="32.25" customHeight="1" thickBot="1" x14ac:dyDescent="0.3">
      <c r="B16" s="110" t="s">
        <v>87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2"/>
    </row>
    <row r="17" spans="2:41" ht="15.75" x14ac:dyDescent="0.25">
      <c r="B17" s="115" t="s">
        <v>20</v>
      </c>
      <c r="C17" s="116"/>
      <c r="D17" s="22"/>
      <c r="E17" s="23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5"/>
      <c r="AL17" s="26"/>
      <c r="AM17" s="27"/>
    </row>
    <row r="18" spans="2:41" ht="15.75" x14ac:dyDescent="0.25">
      <c r="B18" s="102" t="s">
        <v>21</v>
      </c>
      <c r="C18" s="28" t="s">
        <v>17</v>
      </c>
      <c r="D18" s="103" t="s">
        <v>22</v>
      </c>
      <c r="E18" s="30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04">
        <f>SUM(F19:AJ19)</f>
        <v>2110</v>
      </c>
      <c r="AL18" s="106">
        <f>SUM(F18:AJ18)</f>
        <v>0</v>
      </c>
      <c r="AM18" s="108" t="e">
        <f t="shared" ref="AM18" si="2">AK18/AL18*100</f>
        <v>#DIV/0!</v>
      </c>
      <c r="AO18" s="60"/>
    </row>
    <row r="19" spans="2:41" ht="18.75" x14ac:dyDescent="0.25">
      <c r="B19" s="102"/>
      <c r="C19" s="28" t="s">
        <v>16</v>
      </c>
      <c r="D19" s="103"/>
      <c r="E19" s="34">
        <f>960+AK18</f>
        <v>3070</v>
      </c>
      <c r="F19" s="35"/>
      <c r="G19" s="36"/>
      <c r="H19" s="36">
        <v>240</v>
      </c>
      <c r="I19" s="36">
        <v>240</v>
      </c>
      <c r="J19" s="36">
        <v>270</v>
      </c>
      <c r="K19" s="36">
        <v>140</v>
      </c>
      <c r="L19" s="36">
        <v>40</v>
      </c>
      <c r="M19" s="36">
        <v>30</v>
      </c>
      <c r="N19" s="36"/>
      <c r="O19" s="36">
        <v>50</v>
      </c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8">
        <v>220</v>
      </c>
      <c r="AD19" s="36">
        <v>210</v>
      </c>
      <c r="AE19" s="36">
        <v>270</v>
      </c>
      <c r="AF19" s="36">
        <v>150</v>
      </c>
      <c r="AG19" s="36"/>
      <c r="AH19" s="36"/>
      <c r="AI19" s="36">
        <v>250</v>
      </c>
      <c r="AJ19" s="36"/>
      <c r="AK19" s="105"/>
      <c r="AL19" s="107"/>
      <c r="AM19" s="109"/>
    </row>
    <row r="20" spans="2:41" ht="15.75" x14ac:dyDescent="0.25">
      <c r="B20" s="102" t="s">
        <v>23</v>
      </c>
      <c r="C20" s="28" t="s">
        <v>17</v>
      </c>
      <c r="D20" s="103" t="s">
        <v>22</v>
      </c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04">
        <f>SUM(F21:AJ21)</f>
        <v>2250</v>
      </c>
      <c r="AL20" s="106">
        <f>SUM(F20:AJ20)</f>
        <v>0</v>
      </c>
      <c r="AM20" s="108" t="e">
        <f t="shared" ref="AM20" si="3">AK20/AL20*100</f>
        <v>#DIV/0!</v>
      </c>
      <c r="AO20" s="60"/>
    </row>
    <row r="21" spans="2:41" ht="18.75" x14ac:dyDescent="0.25">
      <c r="B21" s="102"/>
      <c r="C21" s="28" t="s">
        <v>16</v>
      </c>
      <c r="D21" s="103"/>
      <c r="E21" s="34">
        <f>1630+AK20</f>
        <v>3880</v>
      </c>
      <c r="F21" s="37"/>
      <c r="G21" s="38"/>
      <c r="H21" s="38">
        <v>260</v>
      </c>
      <c r="I21" s="38">
        <v>210</v>
      </c>
      <c r="J21" s="38">
        <v>140</v>
      </c>
      <c r="K21" s="38">
        <v>180</v>
      </c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>
        <v>210</v>
      </c>
      <c r="AB21" s="38">
        <v>70</v>
      </c>
      <c r="AC21" s="38">
        <f>170+60</f>
        <v>230</v>
      </c>
      <c r="AD21" s="38"/>
      <c r="AE21" s="38">
        <v>230</v>
      </c>
      <c r="AF21" s="38">
        <f>130+110</f>
        <v>240</v>
      </c>
      <c r="AG21" s="38">
        <v>120</v>
      </c>
      <c r="AH21" s="38">
        <v>190</v>
      </c>
      <c r="AI21" s="38">
        <v>170</v>
      </c>
      <c r="AJ21" s="38"/>
      <c r="AK21" s="105"/>
      <c r="AL21" s="107"/>
      <c r="AM21" s="109"/>
    </row>
    <row r="22" spans="2:41" ht="32.25" thickBot="1" x14ac:dyDescent="0.3">
      <c r="B22" s="101" t="s">
        <v>24</v>
      </c>
      <c r="C22" s="39" t="s">
        <v>25</v>
      </c>
      <c r="D22" s="82" t="s">
        <v>22</v>
      </c>
      <c r="E22" s="40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>
        <f>AK18+AK20</f>
        <v>4360</v>
      </c>
      <c r="AL22" s="42">
        <f>AL18+AL20</f>
        <v>0</v>
      </c>
      <c r="AM22" s="84" t="e">
        <f t="shared" ref="AM22:AM23" si="4">AK22/AL22*100</f>
        <v>#DIV/0!</v>
      </c>
    </row>
    <row r="23" spans="2:41" ht="32.25" thickBot="1" x14ac:dyDescent="0.3">
      <c r="B23" s="101"/>
      <c r="C23" s="39" t="s">
        <v>26</v>
      </c>
      <c r="D23" s="82" t="s">
        <v>22</v>
      </c>
      <c r="E23" s="43">
        <f>E19+E21</f>
        <v>6950</v>
      </c>
      <c r="F23" s="44">
        <f>+F21+F19</f>
        <v>0</v>
      </c>
      <c r="G23" s="45">
        <f>+G21+G19</f>
        <v>0</v>
      </c>
      <c r="H23" s="45">
        <f t="shared" ref="H23:AJ23" si="5">+H21+H19</f>
        <v>500</v>
      </c>
      <c r="I23" s="45">
        <f t="shared" si="5"/>
        <v>450</v>
      </c>
      <c r="J23" s="45">
        <f t="shared" si="5"/>
        <v>410</v>
      </c>
      <c r="K23" s="45">
        <f t="shared" si="5"/>
        <v>320</v>
      </c>
      <c r="L23" s="45">
        <f t="shared" si="5"/>
        <v>40</v>
      </c>
      <c r="M23" s="45">
        <f t="shared" si="5"/>
        <v>30</v>
      </c>
      <c r="N23" s="45">
        <f t="shared" si="5"/>
        <v>0</v>
      </c>
      <c r="O23" s="45">
        <f t="shared" si="5"/>
        <v>50</v>
      </c>
      <c r="P23" s="45">
        <f t="shared" si="5"/>
        <v>0</v>
      </c>
      <c r="Q23" s="45">
        <f t="shared" si="5"/>
        <v>0</v>
      </c>
      <c r="R23" s="45">
        <f t="shared" si="5"/>
        <v>0</v>
      </c>
      <c r="S23" s="45">
        <f t="shared" si="5"/>
        <v>0</v>
      </c>
      <c r="T23" s="45">
        <f t="shared" si="5"/>
        <v>0</v>
      </c>
      <c r="U23" s="45">
        <f t="shared" si="5"/>
        <v>0</v>
      </c>
      <c r="V23" s="45">
        <f t="shared" si="5"/>
        <v>0</v>
      </c>
      <c r="W23" s="45">
        <f t="shared" si="5"/>
        <v>0</v>
      </c>
      <c r="X23" s="45">
        <f t="shared" si="5"/>
        <v>0</v>
      </c>
      <c r="Y23" s="45">
        <f t="shared" si="5"/>
        <v>0</v>
      </c>
      <c r="Z23" s="45">
        <f t="shared" si="5"/>
        <v>0</v>
      </c>
      <c r="AA23" s="45">
        <f t="shared" si="5"/>
        <v>210</v>
      </c>
      <c r="AB23" s="45">
        <f t="shared" si="5"/>
        <v>70</v>
      </c>
      <c r="AC23" s="45">
        <f t="shared" si="5"/>
        <v>450</v>
      </c>
      <c r="AD23" s="45">
        <f t="shared" si="5"/>
        <v>210</v>
      </c>
      <c r="AE23" s="45">
        <f t="shared" si="5"/>
        <v>500</v>
      </c>
      <c r="AF23" s="45">
        <f t="shared" si="5"/>
        <v>390</v>
      </c>
      <c r="AG23" s="45">
        <f t="shared" si="5"/>
        <v>120</v>
      </c>
      <c r="AH23" s="45">
        <f t="shared" si="5"/>
        <v>190</v>
      </c>
      <c r="AI23" s="45">
        <f t="shared" si="5"/>
        <v>420</v>
      </c>
      <c r="AJ23" s="45">
        <f t="shared" si="5"/>
        <v>0</v>
      </c>
      <c r="AK23" s="46">
        <f>SUM(F23:AJ23)</f>
        <v>4360</v>
      </c>
      <c r="AL23" s="47">
        <f>AL22</f>
        <v>0</v>
      </c>
      <c r="AM23" s="48" t="e">
        <f t="shared" si="4"/>
        <v>#DIV/0!</v>
      </c>
    </row>
    <row r="24" spans="2:41" ht="16.5" thickBot="1" x14ac:dyDescent="0.3">
      <c r="B24" s="50" t="s">
        <v>18</v>
      </c>
      <c r="C24" s="51" t="s">
        <v>27</v>
      </c>
      <c r="D24" s="52" t="s">
        <v>22</v>
      </c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5"/>
      <c r="AL24" s="56"/>
      <c r="AM24" s="57"/>
    </row>
    <row r="25" spans="2:41" ht="32.25" customHeight="1" thickBot="1" x14ac:dyDescent="0.3">
      <c r="B25" s="110" t="s">
        <v>28</v>
      </c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2"/>
    </row>
    <row r="26" spans="2:41" ht="15.75" x14ac:dyDescent="0.25">
      <c r="B26" s="115" t="s">
        <v>20</v>
      </c>
      <c r="C26" s="116"/>
      <c r="D26" s="22"/>
      <c r="E26" s="23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5"/>
      <c r="AL26" s="26"/>
      <c r="AM26" s="27"/>
    </row>
    <row r="27" spans="2:41" ht="15.75" x14ac:dyDescent="0.25">
      <c r="B27" s="102" t="s">
        <v>21</v>
      </c>
      <c r="C27" s="28" t="s">
        <v>17</v>
      </c>
      <c r="D27" s="103" t="s">
        <v>22</v>
      </c>
      <c r="E27" s="30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04">
        <f>SUM(F28:AJ28)</f>
        <v>0</v>
      </c>
      <c r="AL27" s="106">
        <f>SUM(F27:AJ27)</f>
        <v>0</v>
      </c>
      <c r="AM27" s="108" t="e">
        <f t="shared" si="0"/>
        <v>#DIV/0!</v>
      </c>
      <c r="AO27" s="60"/>
    </row>
    <row r="28" spans="2:41" ht="18.75" x14ac:dyDescent="0.25">
      <c r="B28" s="102"/>
      <c r="C28" s="28" t="s">
        <v>16</v>
      </c>
      <c r="D28" s="103"/>
      <c r="E28" s="34">
        <f>9496+AK27</f>
        <v>9496</v>
      </c>
      <c r="F28" s="35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105"/>
      <c r="AL28" s="107"/>
      <c r="AM28" s="109"/>
    </row>
    <row r="29" spans="2:41" ht="15.75" x14ac:dyDescent="0.25">
      <c r="B29" s="102" t="s">
        <v>23</v>
      </c>
      <c r="C29" s="28" t="s">
        <v>17</v>
      </c>
      <c r="D29" s="103" t="s">
        <v>22</v>
      </c>
      <c r="E29" s="30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04">
        <f>SUM(F30:AJ30)</f>
        <v>0</v>
      </c>
      <c r="AL29" s="106">
        <f>SUM(F29:AJ29)</f>
        <v>0</v>
      </c>
      <c r="AM29" s="108" t="e">
        <f t="shared" si="0"/>
        <v>#DIV/0!</v>
      </c>
      <c r="AO29" s="60"/>
    </row>
    <row r="30" spans="2:41" ht="18.75" x14ac:dyDescent="0.25">
      <c r="B30" s="102"/>
      <c r="C30" s="28" t="s">
        <v>16</v>
      </c>
      <c r="D30" s="103"/>
      <c r="E30" s="34">
        <f>4018+AK29</f>
        <v>4018</v>
      </c>
      <c r="F30" s="37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6"/>
      <c r="AB30" s="38"/>
      <c r="AC30" s="38"/>
      <c r="AD30" s="38"/>
      <c r="AE30" s="38"/>
      <c r="AF30" s="38"/>
      <c r="AG30" s="38"/>
      <c r="AH30" s="38"/>
      <c r="AI30" s="38"/>
      <c r="AJ30" s="38"/>
      <c r="AK30" s="105"/>
      <c r="AL30" s="107"/>
      <c r="AM30" s="109"/>
    </row>
    <row r="31" spans="2:41" ht="31.5" x14ac:dyDescent="0.25">
      <c r="B31" s="101" t="s">
        <v>24</v>
      </c>
      <c r="C31" s="39" t="s">
        <v>25</v>
      </c>
      <c r="D31" s="29" t="s">
        <v>22</v>
      </c>
      <c r="E31" s="40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>
        <f>AK27+AK29</f>
        <v>0</v>
      </c>
      <c r="AL31" s="42">
        <f>AL27+AL29</f>
        <v>0</v>
      </c>
      <c r="AM31" s="33" t="e">
        <f t="shared" si="0"/>
        <v>#DIV/0!</v>
      </c>
    </row>
    <row r="32" spans="2:41" ht="31.5" x14ac:dyDescent="0.25">
      <c r="B32" s="101"/>
      <c r="C32" s="39" t="s">
        <v>26</v>
      </c>
      <c r="D32" s="29" t="s">
        <v>22</v>
      </c>
      <c r="E32" s="43">
        <f>E28+E30</f>
        <v>13514</v>
      </c>
      <c r="F32" s="44">
        <f>+F30+F28</f>
        <v>0</v>
      </c>
      <c r="G32" s="45">
        <f>+G30+G28</f>
        <v>0</v>
      </c>
      <c r="H32" s="45">
        <f t="shared" si="1"/>
        <v>0</v>
      </c>
      <c r="I32" s="45">
        <f t="shared" si="1"/>
        <v>0</v>
      </c>
      <c r="J32" s="45">
        <f t="shared" si="1"/>
        <v>0</v>
      </c>
      <c r="K32" s="45">
        <f t="shared" si="1"/>
        <v>0</v>
      </c>
      <c r="L32" s="45">
        <f t="shared" si="1"/>
        <v>0</v>
      </c>
      <c r="M32" s="45">
        <f t="shared" si="1"/>
        <v>0</v>
      </c>
      <c r="N32" s="45">
        <f t="shared" si="1"/>
        <v>0</v>
      </c>
      <c r="O32" s="45">
        <f t="shared" si="1"/>
        <v>0</v>
      </c>
      <c r="P32" s="45">
        <f t="shared" si="1"/>
        <v>0</v>
      </c>
      <c r="Q32" s="45">
        <f t="shared" si="1"/>
        <v>0</v>
      </c>
      <c r="R32" s="45">
        <f t="shared" si="1"/>
        <v>0</v>
      </c>
      <c r="S32" s="45">
        <f t="shared" si="1"/>
        <v>0</v>
      </c>
      <c r="T32" s="45">
        <f t="shared" si="1"/>
        <v>0</v>
      </c>
      <c r="U32" s="45">
        <f t="shared" si="1"/>
        <v>0</v>
      </c>
      <c r="V32" s="45">
        <f t="shared" si="1"/>
        <v>0</v>
      </c>
      <c r="W32" s="45">
        <f t="shared" si="1"/>
        <v>0</v>
      </c>
      <c r="X32" s="45">
        <f t="shared" si="1"/>
        <v>0</v>
      </c>
      <c r="Y32" s="45">
        <f t="shared" si="1"/>
        <v>0</v>
      </c>
      <c r="Z32" s="45">
        <f t="shared" si="1"/>
        <v>0</v>
      </c>
      <c r="AA32" s="45">
        <f t="shared" si="1"/>
        <v>0</v>
      </c>
      <c r="AB32" s="45">
        <f t="shared" si="1"/>
        <v>0</v>
      </c>
      <c r="AC32" s="45">
        <f t="shared" si="1"/>
        <v>0</v>
      </c>
      <c r="AD32" s="45">
        <f t="shared" si="1"/>
        <v>0</v>
      </c>
      <c r="AE32" s="45">
        <f t="shared" si="1"/>
        <v>0</v>
      </c>
      <c r="AF32" s="45">
        <f t="shared" si="1"/>
        <v>0</v>
      </c>
      <c r="AG32" s="45">
        <f t="shared" si="1"/>
        <v>0</v>
      </c>
      <c r="AH32" s="45">
        <f t="shared" si="1"/>
        <v>0</v>
      </c>
      <c r="AI32" s="45">
        <f t="shared" si="1"/>
        <v>0</v>
      </c>
      <c r="AJ32" s="45">
        <f t="shared" si="1"/>
        <v>0</v>
      </c>
      <c r="AK32" s="46">
        <f>SUM(F32:AJ32)</f>
        <v>0</v>
      </c>
      <c r="AL32" s="47">
        <f>AL31</f>
        <v>0</v>
      </c>
      <c r="AM32" s="48" t="e">
        <f t="shared" si="0"/>
        <v>#DIV/0!</v>
      </c>
    </row>
    <row r="33" spans="2:41" ht="16.5" thickBot="1" x14ac:dyDescent="0.3">
      <c r="B33" s="50" t="s">
        <v>18</v>
      </c>
      <c r="C33" s="51" t="s">
        <v>27</v>
      </c>
      <c r="D33" s="52" t="s">
        <v>22</v>
      </c>
      <c r="E33" s="53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5"/>
      <c r="AL33" s="56"/>
      <c r="AM33" s="57"/>
    </row>
    <row r="34" spans="2:41" ht="32.25" customHeight="1" thickBot="1" x14ac:dyDescent="0.3">
      <c r="B34" s="110" t="s">
        <v>88</v>
      </c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2"/>
    </row>
    <row r="35" spans="2:41" ht="15.75" x14ac:dyDescent="0.25">
      <c r="B35" s="115" t="s">
        <v>20</v>
      </c>
      <c r="C35" s="116"/>
      <c r="D35" s="22"/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5"/>
      <c r="AL35" s="26"/>
      <c r="AM35" s="27"/>
    </row>
    <row r="36" spans="2:41" ht="15.75" x14ac:dyDescent="0.25">
      <c r="B36" s="102" t="s">
        <v>21</v>
      </c>
      <c r="C36" s="28" t="s">
        <v>17</v>
      </c>
      <c r="D36" s="103" t="s">
        <v>22</v>
      </c>
      <c r="E36" s="30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104">
        <f>SUM(F37:AJ37)</f>
        <v>0</v>
      </c>
      <c r="AL36" s="106">
        <f>SUM(F36:AJ36)</f>
        <v>0</v>
      </c>
      <c r="AM36" s="108" t="e">
        <f t="shared" ref="AM36" si="6">AK36/AL36*100</f>
        <v>#DIV/0!</v>
      </c>
      <c r="AO36" s="60"/>
    </row>
    <row r="37" spans="2:41" ht="18.75" x14ac:dyDescent="0.25">
      <c r="B37" s="102"/>
      <c r="C37" s="28" t="s">
        <v>16</v>
      </c>
      <c r="D37" s="103"/>
      <c r="E37" s="34">
        <f>381+AK36</f>
        <v>381</v>
      </c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105"/>
      <c r="AL37" s="107"/>
      <c r="AM37" s="109"/>
    </row>
    <row r="38" spans="2:41" ht="15.75" x14ac:dyDescent="0.25">
      <c r="B38" s="102" t="s">
        <v>23</v>
      </c>
      <c r="C38" s="28" t="s">
        <v>17</v>
      </c>
      <c r="D38" s="103" t="s">
        <v>22</v>
      </c>
      <c r="E38" s="30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104">
        <f>SUM(F39:AJ39)</f>
        <v>0</v>
      </c>
      <c r="AL38" s="106">
        <f>SUM(F38:AJ38)</f>
        <v>0</v>
      </c>
      <c r="AM38" s="108" t="e">
        <f t="shared" ref="AM38" si="7">AK38/AL38*100</f>
        <v>#DIV/0!</v>
      </c>
      <c r="AO38" s="60"/>
    </row>
    <row r="39" spans="2:41" ht="18.75" x14ac:dyDescent="0.25">
      <c r="B39" s="102"/>
      <c r="C39" s="28" t="s">
        <v>16</v>
      </c>
      <c r="D39" s="103"/>
      <c r="E39" s="34">
        <f>528+AK38</f>
        <v>528</v>
      </c>
      <c r="F39" s="37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105"/>
      <c r="AL39" s="107"/>
      <c r="AM39" s="109"/>
    </row>
    <row r="40" spans="2:41" ht="32.25" thickBot="1" x14ac:dyDescent="0.3">
      <c r="B40" s="101" t="s">
        <v>24</v>
      </c>
      <c r="C40" s="39" t="s">
        <v>25</v>
      </c>
      <c r="D40" s="85" t="s">
        <v>22</v>
      </c>
      <c r="E40" s="40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>
        <f>AK36+AK38</f>
        <v>0</v>
      </c>
      <c r="AL40" s="42">
        <f>AL36+AL38</f>
        <v>0</v>
      </c>
      <c r="AM40" s="87" t="e">
        <f t="shared" ref="AM40:AM41" si="8">AK40/AL40*100</f>
        <v>#DIV/0!</v>
      </c>
    </row>
    <row r="41" spans="2:41" ht="32.25" thickBot="1" x14ac:dyDescent="0.3">
      <c r="B41" s="101"/>
      <c r="C41" s="39" t="s">
        <v>26</v>
      </c>
      <c r="D41" s="85" t="s">
        <v>22</v>
      </c>
      <c r="E41" s="43">
        <f>E37+E39</f>
        <v>909</v>
      </c>
      <c r="F41" s="44">
        <f>+F39+F37</f>
        <v>0</v>
      </c>
      <c r="G41" s="45">
        <f>+G39+G37</f>
        <v>0</v>
      </c>
      <c r="H41" s="45">
        <f t="shared" ref="H41:AJ41" si="9">+H39+H37</f>
        <v>0</v>
      </c>
      <c r="I41" s="45">
        <f t="shared" si="9"/>
        <v>0</v>
      </c>
      <c r="J41" s="45">
        <f t="shared" si="9"/>
        <v>0</v>
      </c>
      <c r="K41" s="45">
        <f t="shared" si="9"/>
        <v>0</v>
      </c>
      <c r="L41" s="45">
        <f t="shared" si="9"/>
        <v>0</v>
      </c>
      <c r="M41" s="45">
        <f t="shared" si="9"/>
        <v>0</v>
      </c>
      <c r="N41" s="45">
        <f t="shared" si="9"/>
        <v>0</v>
      </c>
      <c r="O41" s="45">
        <f t="shared" si="9"/>
        <v>0</v>
      </c>
      <c r="P41" s="45">
        <f t="shared" si="9"/>
        <v>0</v>
      </c>
      <c r="Q41" s="45">
        <f t="shared" si="9"/>
        <v>0</v>
      </c>
      <c r="R41" s="45">
        <f t="shared" si="9"/>
        <v>0</v>
      </c>
      <c r="S41" s="45">
        <f t="shared" si="9"/>
        <v>0</v>
      </c>
      <c r="T41" s="45">
        <f t="shared" si="9"/>
        <v>0</v>
      </c>
      <c r="U41" s="45">
        <f t="shared" si="9"/>
        <v>0</v>
      </c>
      <c r="V41" s="45">
        <f t="shared" si="9"/>
        <v>0</v>
      </c>
      <c r="W41" s="45">
        <f t="shared" si="9"/>
        <v>0</v>
      </c>
      <c r="X41" s="45">
        <f t="shared" si="9"/>
        <v>0</v>
      </c>
      <c r="Y41" s="45">
        <f t="shared" si="9"/>
        <v>0</v>
      </c>
      <c r="Z41" s="45">
        <f t="shared" si="9"/>
        <v>0</v>
      </c>
      <c r="AA41" s="45">
        <f t="shared" si="9"/>
        <v>0</v>
      </c>
      <c r="AB41" s="45">
        <f t="shared" si="9"/>
        <v>0</v>
      </c>
      <c r="AC41" s="45">
        <f t="shared" si="9"/>
        <v>0</v>
      </c>
      <c r="AD41" s="45">
        <f t="shared" si="9"/>
        <v>0</v>
      </c>
      <c r="AE41" s="45">
        <f t="shared" si="9"/>
        <v>0</v>
      </c>
      <c r="AF41" s="45">
        <f t="shared" si="9"/>
        <v>0</v>
      </c>
      <c r="AG41" s="45">
        <f t="shared" si="9"/>
        <v>0</v>
      </c>
      <c r="AH41" s="45">
        <f t="shared" si="9"/>
        <v>0</v>
      </c>
      <c r="AI41" s="45">
        <f t="shared" si="9"/>
        <v>0</v>
      </c>
      <c r="AJ41" s="45">
        <f t="shared" si="9"/>
        <v>0</v>
      </c>
      <c r="AK41" s="46">
        <f>SUM(F41:AJ41)</f>
        <v>0</v>
      </c>
      <c r="AL41" s="47">
        <f>AL40</f>
        <v>0</v>
      </c>
      <c r="AM41" s="48" t="e">
        <f t="shared" si="8"/>
        <v>#DIV/0!</v>
      </c>
    </row>
    <row r="42" spans="2:41" ht="16.5" thickBot="1" x14ac:dyDescent="0.3">
      <c r="B42" s="50" t="s">
        <v>18</v>
      </c>
      <c r="C42" s="51" t="s">
        <v>27</v>
      </c>
      <c r="D42" s="52" t="s">
        <v>22</v>
      </c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5"/>
      <c r="AL42" s="56"/>
      <c r="AM42" s="57"/>
    </row>
    <row r="43" spans="2:41" ht="32.25" customHeight="1" thickBot="1" x14ac:dyDescent="0.3">
      <c r="B43" s="110" t="s">
        <v>35</v>
      </c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2"/>
    </row>
    <row r="44" spans="2:41" ht="15.75" x14ac:dyDescent="0.25">
      <c r="B44" s="115" t="s">
        <v>20</v>
      </c>
      <c r="C44" s="116"/>
      <c r="D44" s="22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5"/>
      <c r="AL44" s="26"/>
      <c r="AM44" s="27"/>
    </row>
    <row r="45" spans="2:41" ht="15.75" x14ac:dyDescent="0.25">
      <c r="B45" s="102" t="s">
        <v>21</v>
      </c>
      <c r="C45" s="28" t="s">
        <v>17</v>
      </c>
      <c r="D45" s="103" t="s">
        <v>22</v>
      </c>
      <c r="E45" s="30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104">
        <f>SUM(F46:AJ46)</f>
        <v>0</v>
      </c>
      <c r="AL45" s="106">
        <f>SUM(F45:AJ45)</f>
        <v>0</v>
      </c>
      <c r="AM45" s="108" t="e">
        <f t="shared" si="0"/>
        <v>#DIV/0!</v>
      </c>
      <c r="AO45" s="60"/>
    </row>
    <row r="46" spans="2:41" ht="18.75" x14ac:dyDescent="0.25">
      <c r="B46" s="102"/>
      <c r="C46" s="28" t="s">
        <v>16</v>
      </c>
      <c r="D46" s="103"/>
      <c r="E46" s="34">
        <f>+AK45+9668</f>
        <v>9668</v>
      </c>
      <c r="F46" s="3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105"/>
      <c r="AL46" s="107"/>
      <c r="AM46" s="109"/>
    </row>
    <row r="47" spans="2:41" ht="15.75" x14ac:dyDescent="0.25">
      <c r="B47" s="102" t="s">
        <v>23</v>
      </c>
      <c r="C47" s="28" t="s">
        <v>17</v>
      </c>
      <c r="D47" s="103" t="s">
        <v>22</v>
      </c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104">
        <f>SUM(F48:AJ48)</f>
        <v>0</v>
      </c>
      <c r="AL47" s="106">
        <f>SUM(F47:AJ47)</f>
        <v>0</v>
      </c>
      <c r="AM47" s="108" t="e">
        <f t="shared" si="0"/>
        <v>#DIV/0!</v>
      </c>
      <c r="AO47" s="60"/>
    </row>
    <row r="48" spans="2:41" ht="18.75" x14ac:dyDescent="0.25">
      <c r="B48" s="102"/>
      <c r="C48" s="28" t="s">
        <v>16</v>
      </c>
      <c r="D48" s="103"/>
      <c r="E48" s="34">
        <f>AK47+4790</f>
        <v>4790</v>
      </c>
      <c r="F48" s="37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105"/>
      <c r="AL48" s="107"/>
      <c r="AM48" s="109"/>
    </row>
    <row r="49" spans="2:41" ht="31.5" x14ac:dyDescent="0.25">
      <c r="B49" s="101" t="s">
        <v>24</v>
      </c>
      <c r="C49" s="39" t="s">
        <v>25</v>
      </c>
      <c r="D49" s="29" t="s">
        <v>22</v>
      </c>
      <c r="E49" s="40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>
        <f>AK45+AK47</f>
        <v>0</v>
      </c>
      <c r="AL49" s="42">
        <f>AL45+AL47</f>
        <v>0</v>
      </c>
      <c r="AM49" s="33" t="e">
        <f t="shared" si="0"/>
        <v>#DIV/0!</v>
      </c>
    </row>
    <row r="50" spans="2:41" ht="31.5" x14ac:dyDescent="0.25">
      <c r="B50" s="101"/>
      <c r="C50" s="39" t="s">
        <v>26</v>
      </c>
      <c r="D50" s="29" t="s">
        <v>22</v>
      </c>
      <c r="E50" s="43">
        <f>E46+E48</f>
        <v>14458</v>
      </c>
      <c r="F50" s="44">
        <f>+F48+F46</f>
        <v>0</v>
      </c>
      <c r="G50" s="45">
        <f>+G48+G46</f>
        <v>0</v>
      </c>
      <c r="H50" s="45">
        <f t="shared" si="1"/>
        <v>0</v>
      </c>
      <c r="I50" s="45">
        <f t="shared" si="1"/>
        <v>0</v>
      </c>
      <c r="J50" s="45">
        <f t="shared" si="1"/>
        <v>0</v>
      </c>
      <c r="K50" s="45">
        <f t="shared" si="1"/>
        <v>0</v>
      </c>
      <c r="L50" s="45">
        <f t="shared" si="1"/>
        <v>0</v>
      </c>
      <c r="M50" s="45">
        <f t="shared" si="1"/>
        <v>0</v>
      </c>
      <c r="N50" s="45">
        <f t="shared" si="1"/>
        <v>0</v>
      </c>
      <c r="O50" s="45">
        <f t="shared" si="1"/>
        <v>0</v>
      </c>
      <c r="P50" s="45">
        <f t="shared" si="1"/>
        <v>0</v>
      </c>
      <c r="Q50" s="45">
        <f t="shared" si="1"/>
        <v>0</v>
      </c>
      <c r="R50" s="45">
        <f t="shared" si="1"/>
        <v>0</v>
      </c>
      <c r="S50" s="45">
        <f t="shared" si="1"/>
        <v>0</v>
      </c>
      <c r="T50" s="45">
        <f t="shared" si="1"/>
        <v>0</v>
      </c>
      <c r="U50" s="45">
        <f t="shared" si="1"/>
        <v>0</v>
      </c>
      <c r="V50" s="45">
        <f t="shared" si="1"/>
        <v>0</v>
      </c>
      <c r="W50" s="45">
        <f t="shared" si="1"/>
        <v>0</v>
      </c>
      <c r="X50" s="45">
        <f t="shared" si="1"/>
        <v>0</v>
      </c>
      <c r="Y50" s="45">
        <f t="shared" si="1"/>
        <v>0</v>
      </c>
      <c r="Z50" s="45">
        <f t="shared" si="1"/>
        <v>0</v>
      </c>
      <c r="AA50" s="45">
        <f t="shared" si="1"/>
        <v>0</v>
      </c>
      <c r="AB50" s="45">
        <f t="shared" si="1"/>
        <v>0</v>
      </c>
      <c r="AC50" s="45">
        <f t="shared" si="1"/>
        <v>0</v>
      </c>
      <c r="AD50" s="45">
        <f t="shared" si="1"/>
        <v>0</v>
      </c>
      <c r="AE50" s="45">
        <f t="shared" si="1"/>
        <v>0</v>
      </c>
      <c r="AF50" s="45">
        <f t="shared" si="1"/>
        <v>0</v>
      </c>
      <c r="AG50" s="45">
        <f t="shared" si="1"/>
        <v>0</v>
      </c>
      <c r="AH50" s="45">
        <f t="shared" si="1"/>
        <v>0</v>
      </c>
      <c r="AI50" s="45">
        <f t="shared" si="1"/>
        <v>0</v>
      </c>
      <c r="AJ50" s="45">
        <f t="shared" si="1"/>
        <v>0</v>
      </c>
      <c r="AK50" s="46">
        <f>SUM(F50:AJ50)</f>
        <v>0</v>
      </c>
      <c r="AL50" s="47">
        <f>AL49</f>
        <v>0</v>
      </c>
      <c r="AM50" s="48" t="e">
        <f t="shared" si="0"/>
        <v>#DIV/0!</v>
      </c>
    </row>
    <row r="51" spans="2:41" ht="15.75" x14ac:dyDescent="0.25">
      <c r="B51" s="50" t="s">
        <v>18</v>
      </c>
      <c r="C51" s="51" t="s">
        <v>27</v>
      </c>
      <c r="D51" s="52" t="s">
        <v>22</v>
      </c>
      <c r="E51" s="53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5"/>
      <c r="AL51" s="56"/>
      <c r="AM51" s="57"/>
    </row>
    <row r="52" spans="2:41" ht="29.25" customHeight="1" x14ac:dyDescent="0.25">
      <c r="B52" s="110" t="s">
        <v>36</v>
      </c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2"/>
    </row>
    <row r="53" spans="2:41" ht="15.75" x14ac:dyDescent="0.25">
      <c r="B53" s="115" t="s">
        <v>20</v>
      </c>
      <c r="C53" s="116"/>
      <c r="D53" s="22"/>
      <c r="E53" s="23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5"/>
      <c r="AL53" s="26"/>
      <c r="AM53" s="27"/>
    </row>
    <row r="54" spans="2:41" ht="15.75" x14ac:dyDescent="0.25">
      <c r="B54" s="102" t="s">
        <v>21</v>
      </c>
      <c r="C54" s="28" t="s">
        <v>17</v>
      </c>
      <c r="D54" s="103" t="s">
        <v>22</v>
      </c>
      <c r="E54" s="30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104">
        <f>SUM(F55:AJ55)</f>
        <v>0</v>
      </c>
      <c r="AL54" s="106">
        <f>SUM(F54:AJ54)</f>
        <v>0</v>
      </c>
      <c r="AM54" s="108" t="e">
        <f t="shared" si="0"/>
        <v>#DIV/0!</v>
      </c>
      <c r="AO54" s="60"/>
    </row>
    <row r="55" spans="2:41" ht="18.75" x14ac:dyDescent="0.25">
      <c r="B55" s="102"/>
      <c r="C55" s="28" t="s">
        <v>16</v>
      </c>
      <c r="D55" s="103"/>
      <c r="E55" s="34">
        <f>150+AK54</f>
        <v>150</v>
      </c>
      <c r="F55" s="35"/>
      <c r="G55" s="36"/>
      <c r="H55" s="36"/>
      <c r="I55" s="36"/>
      <c r="J55" s="38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105"/>
      <c r="AL55" s="107"/>
      <c r="AM55" s="109"/>
    </row>
    <row r="56" spans="2:41" ht="15.75" x14ac:dyDescent="0.25">
      <c r="B56" s="102" t="s">
        <v>23</v>
      </c>
      <c r="C56" s="28" t="s">
        <v>17</v>
      </c>
      <c r="D56" s="103" t="s">
        <v>22</v>
      </c>
      <c r="E56" s="30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104">
        <f>SUM(F57:AJ57)</f>
        <v>0</v>
      </c>
      <c r="AL56" s="106">
        <f>SUM(F56:AJ56)</f>
        <v>0</v>
      </c>
      <c r="AM56" s="108" t="e">
        <f t="shared" si="0"/>
        <v>#DIV/0!</v>
      </c>
      <c r="AO56" s="60"/>
    </row>
    <row r="57" spans="2:41" ht="18.75" x14ac:dyDescent="0.25">
      <c r="B57" s="102"/>
      <c r="C57" s="28" t="s">
        <v>16</v>
      </c>
      <c r="D57" s="103"/>
      <c r="E57" s="34">
        <f>160+AK56</f>
        <v>160</v>
      </c>
      <c r="F57" s="37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105"/>
      <c r="AL57" s="107"/>
      <c r="AM57" s="109"/>
    </row>
    <row r="58" spans="2:41" ht="31.5" x14ac:dyDescent="0.25">
      <c r="B58" s="101" t="s">
        <v>24</v>
      </c>
      <c r="C58" s="39" t="s">
        <v>25</v>
      </c>
      <c r="D58" s="29" t="s">
        <v>22</v>
      </c>
      <c r="E58" s="40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>
        <f>AK54+AK56</f>
        <v>0</v>
      </c>
      <c r="AL58" s="42">
        <f>AL54+AL56</f>
        <v>0</v>
      </c>
      <c r="AM58" s="33" t="e">
        <f t="shared" si="0"/>
        <v>#DIV/0!</v>
      </c>
    </row>
    <row r="59" spans="2:41" ht="31.5" x14ac:dyDescent="0.25">
      <c r="B59" s="101"/>
      <c r="C59" s="39" t="s">
        <v>26</v>
      </c>
      <c r="D59" s="29" t="s">
        <v>22</v>
      </c>
      <c r="E59" s="43">
        <f>+AK59</f>
        <v>0</v>
      </c>
      <c r="F59" s="44">
        <f>+F57+F55</f>
        <v>0</v>
      </c>
      <c r="G59" s="45">
        <f>+G57+G55</f>
        <v>0</v>
      </c>
      <c r="H59" s="45">
        <f t="shared" si="1"/>
        <v>0</v>
      </c>
      <c r="I59" s="45">
        <f t="shared" si="1"/>
        <v>0</v>
      </c>
      <c r="J59" s="45">
        <f t="shared" si="1"/>
        <v>0</v>
      </c>
      <c r="K59" s="45">
        <f t="shared" si="1"/>
        <v>0</v>
      </c>
      <c r="L59" s="45">
        <f t="shared" si="1"/>
        <v>0</v>
      </c>
      <c r="M59" s="45">
        <f t="shared" si="1"/>
        <v>0</v>
      </c>
      <c r="N59" s="45">
        <f t="shared" si="1"/>
        <v>0</v>
      </c>
      <c r="O59" s="45">
        <f t="shared" si="1"/>
        <v>0</v>
      </c>
      <c r="P59" s="45">
        <f t="shared" si="1"/>
        <v>0</v>
      </c>
      <c r="Q59" s="45">
        <f t="shared" si="1"/>
        <v>0</v>
      </c>
      <c r="R59" s="45">
        <f t="shared" si="1"/>
        <v>0</v>
      </c>
      <c r="S59" s="45">
        <f t="shared" si="1"/>
        <v>0</v>
      </c>
      <c r="T59" s="45">
        <f t="shared" si="1"/>
        <v>0</v>
      </c>
      <c r="U59" s="45">
        <f t="shared" si="1"/>
        <v>0</v>
      </c>
      <c r="V59" s="45">
        <f t="shared" si="1"/>
        <v>0</v>
      </c>
      <c r="W59" s="45">
        <f t="shared" si="1"/>
        <v>0</v>
      </c>
      <c r="X59" s="45">
        <f t="shared" si="1"/>
        <v>0</v>
      </c>
      <c r="Y59" s="45">
        <f t="shared" si="1"/>
        <v>0</v>
      </c>
      <c r="Z59" s="45">
        <f t="shared" si="1"/>
        <v>0</v>
      </c>
      <c r="AA59" s="45">
        <f t="shared" si="1"/>
        <v>0</v>
      </c>
      <c r="AB59" s="45">
        <f t="shared" si="1"/>
        <v>0</v>
      </c>
      <c r="AC59" s="45">
        <f t="shared" si="1"/>
        <v>0</v>
      </c>
      <c r="AD59" s="45">
        <f t="shared" si="1"/>
        <v>0</v>
      </c>
      <c r="AE59" s="45">
        <f t="shared" si="1"/>
        <v>0</v>
      </c>
      <c r="AF59" s="45">
        <f t="shared" si="1"/>
        <v>0</v>
      </c>
      <c r="AG59" s="45">
        <f t="shared" si="1"/>
        <v>0</v>
      </c>
      <c r="AH59" s="45">
        <f t="shared" si="1"/>
        <v>0</v>
      </c>
      <c r="AI59" s="45">
        <f t="shared" si="1"/>
        <v>0</v>
      </c>
      <c r="AJ59" s="45">
        <f t="shared" si="1"/>
        <v>0</v>
      </c>
      <c r="AK59" s="46">
        <f>SUM(F59:AJ59)</f>
        <v>0</v>
      </c>
      <c r="AL59" s="47">
        <f>AL58</f>
        <v>0</v>
      </c>
      <c r="AM59" s="48" t="e">
        <f t="shared" si="0"/>
        <v>#DIV/0!</v>
      </c>
    </row>
    <row r="60" spans="2:41" ht="15.75" x14ac:dyDescent="0.25">
      <c r="B60" s="50" t="s">
        <v>18</v>
      </c>
      <c r="C60" s="51" t="s">
        <v>27</v>
      </c>
      <c r="D60" s="52" t="s">
        <v>22</v>
      </c>
      <c r="E60" s="53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5"/>
      <c r="AL60" s="56"/>
      <c r="AM60" s="57"/>
    </row>
    <row r="61" spans="2:41" ht="29.25" customHeight="1" x14ac:dyDescent="0.25">
      <c r="B61" s="110" t="s">
        <v>34</v>
      </c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2"/>
    </row>
    <row r="62" spans="2:41" ht="15.75" x14ac:dyDescent="0.25">
      <c r="B62" s="115" t="s">
        <v>20</v>
      </c>
      <c r="C62" s="116"/>
      <c r="D62" s="22"/>
      <c r="E62" s="23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5"/>
      <c r="AL62" s="26"/>
      <c r="AM62" s="27"/>
    </row>
    <row r="63" spans="2:41" ht="15.75" x14ac:dyDescent="0.25">
      <c r="B63" s="102" t="s">
        <v>21</v>
      </c>
      <c r="C63" s="28" t="s">
        <v>17</v>
      </c>
      <c r="D63" s="103" t="s">
        <v>22</v>
      </c>
      <c r="E63" s="30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104">
        <f>SUM(F64:AJ64)</f>
        <v>2980</v>
      </c>
      <c r="AL63" s="106">
        <f>SUM(F63:AJ63)</f>
        <v>0</v>
      </c>
      <c r="AM63" s="108" t="e">
        <f t="shared" si="0"/>
        <v>#DIV/0!</v>
      </c>
      <c r="AO63" s="60"/>
    </row>
    <row r="64" spans="2:41" ht="18.75" x14ac:dyDescent="0.25">
      <c r="B64" s="102"/>
      <c r="C64" s="28" t="s">
        <v>16</v>
      </c>
      <c r="D64" s="103"/>
      <c r="E64" s="34">
        <f>+AK63</f>
        <v>2980</v>
      </c>
      <c r="F64" s="35"/>
      <c r="G64" s="36"/>
      <c r="H64" s="36"/>
      <c r="I64" s="36"/>
      <c r="J64" s="38"/>
      <c r="K64" s="36"/>
      <c r="L64" s="36"/>
      <c r="M64" s="36"/>
      <c r="N64" s="36"/>
      <c r="O64" s="36"/>
      <c r="P64" s="36">
        <v>420</v>
      </c>
      <c r="Q64" s="36">
        <v>300</v>
      </c>
      <c r="R64" s="36"/>
      <c r="S64" s="36">
        <v>260</v>
      </c>
      <c r="T64" s="36">
        <v>360</v>
      </c>
      <c r="U64" s="36"/>
      <c r="V64" s="36"/>
      <c r="W64" s="36"/>
      <c r="X64" s="36"/>
      <c r="Y64" s="36"/>
      <c r="Z64" s="36">
        <v>360</v>
      </c>
      <c r="AA64" s="36">
        <v>270</v>
      </c>
      <c r="AB64" s="36">
        <f>250+70</f>
        <v>320</v>
      </c>
      <c r="AC64" s="36"/>
      <c r="AD64" s="36"/>
      <c r="AE64" s="36"/>
      <c r="AF64" s="36"/>
      <c r="AG64" s="36">
        <v>100</v>
      </c>
      <c r="AH64" s="36">
        <v>590</v>
      </c>
      <c r="AI64" s="36"/>
      <c r="AJ64" s="36"/>
      <c r="AK64" s="105"/>
      <c r="AL64" s="107"/>
      <c r="AM64" s="109"/>
    </row>
    <row r="65" spans="2:41" ht="15.75" x14ac:dyDescent="0.25">
      <c r="B65" s="102" t="s">
        <v>23</v>
      </c>
      <c r="C65" s="28" t="s">
        <v>17</v>
      </c>
      <c r="D65" s="103" t="s">
        <v>22</v>
      </c>
      <c r="E65" s="30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104">
        <f>SUM(F66:AJ66)</f>
        <v>3650</v>
      </c>
      <c r="AL65" s="106">
        <f>SUM(F65:AJ65)</f>
        <v>0</v>
      </c>
      <c r="AM65" s="108" t="e">
        <f t="shared" si="0"/>
        <v>#DIV/0!</v>
      </c>
      <c r="AO65" s="60"/>
    </row>
    <row r="66" spans="2:41" ht="18.75" x14ac:dyDescent="0.25">
      <c r="B66" s="102"/>
      <c r="C66" s="28" t="s">
        <v>16</v>
      </c>
      <c r="D66" s="103"/>
      <c r="E66" s="34">
        <f>+AK65</f>
        <v>3650</v>
      </c>
      <c r="F66" s="37"/>
      <c r="G66" s="38"/>
      <c r="H66" s="38"/>
      <c r="I66" s="38"/>
      <c r="J66" s="38"/>
      <c r="K66" s="38"/>
      <c r="L66" s="38"/>
      <c r="M66" s="38"/>
      <c r="N66" s="38"/>
      <c r="O66" s="38"/>
      <c r="P66" s="38">
        <v>490</v>
      </c>
      <c r="Q66" s="38"/>
      <c r="R66" s="38"/>
      <c r="S66" s="38">
        <v>450</v>
      </c>
      <c r="T66" s="38">
        <v>400</v>
      </c>
      <c r="U66" s="38"/>
      <c r="V66" s="38"/>
      <c r="W66" s="38"/>
      <c r="X66" s="38"/>
      <c r="Y66" s="38"/>
      <c r="Z66" s="38">
        <v>560</v>
      </c>
      <c r="AA66" s="38">
        <v>240</v>
      </c>
      <c r="AB66" s="38">
        <v>510</v>
      </c>
      <c r="AC66" s="38"/>
      <c r="AD66" s="38">
        <v>600</v>
      </c>
      <c r="AE66" s="38"/>
      <c r="AF66" s="38"/>
      <c r="AG66" s="38">
        <v>280</v>
      </c>
      <c r="AH66" s="38">
        <v>120</v>
      </c>
      <c r="AI66" s="38"/>
      <c r="AJ66" s="38"/>
      <c r="AK66" s="105"/>
      <c r="AL66" s="107"/>
      <c r="AM66" s="109"/>
    </row>
    <row r="67" spans="2:41" ht="31.5" x14ac:dyDescent="0.25">
      <c r="B67" s="101" t="s">
        <v>24</v>
      </c>
      <c r="C67" s="39" t="s">
        <v>25</v>
      </c>
      <c r="D67" s="29" t="s">
        <v>22</v>
      </c>
      <c r="E67" s="40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>
        <f>AK63+AK65</f>
        <v>6630</v>
      </c>
      <c r="AL67" s="42">
        <f>AL63+AL65</f>
        <v>0</v>
      </c>
      <c r="AM67" s="33" t="e">
        <f t="shared" si="0"/>
        <v>#DIV/0!</v>
      </c>
    </row>
    <row r="68" spans="2:41" ht="31.5" x14ac:dyDescent="0.25">
      <c r="B68" s="101"/>
      <c r="C68" s="39" t="s">
        <v>26</v>
      </c>
      <c r="D68" s="29" t="s">
        <v>22</v>
      </c>
      <c r="E68" s="43">
        <f>+AK68</f>
        <v>6630</v>
      </c>
      <c r="F68" s="44">
        <f>+F66+F64</f>
        <v>0</v>
      </c>
      <c r="G68" s="45">
        <f>+G66+G64</f>
        <v>0</v>
      </c>
      <c r="H68" s="45">
        <f t="shared" si="1"/>
        <v>0</v>
      </c>
      <c r="I68" s="45">
        <f t="shared" si="1"/>
        <v>0</v>
      </c>
      <c r="J68" s="45">
        <f t="shared" si="1"/>
        <v>0</v>
      </c>
      <c r="K68" s="45">
        <f t="shared" si="1"/>
        <v>0</v>
      </c>
      <c r="L68" s="45">
        <f t="shared" si="1"/>
        <v>0</v>
      </c>
      <c r="M68" s="45">
        <f t="shared" si="1"/>
        <v>0</v>
      </c>
      <c r="N68" s="45">
        <f t="shared" si="1"/>
        <v>0</v>
      </c>
      <c r="O68" s="45">
        <f t="shared" si="1"/>
        <v>0</v>
      </c>
      <c r="P68" s="45">
        <f t="shared" si="1"/>
        <v>910</v>
      </c>
      <c r="Q68" s="45">
        <f t="shared" si="1"/>
        <v>300</v>
      </c>
      <c r="R68" s="45">
        <f t="shared" si="1"/>
        <v>0</v>
      </c>
      <c r="S68" s="45">
        <f t="shared" si="1"/>
        <v>710</v>
      </c>
      <c r="T68" s="45">
        <f t="shared" si="1"/>
        <v>760</v>
      </c>
      <c r="U68" s="45">
        <f t="shared" si="1"/>
        <v>0</v>
      </c>
      <c r="V68" s="45">
        <f t="shared" si="1"/>
        <v>0</v>
      </c>
      <c r="W68" s="45">
        <f t="shared" si="1"/>
        <v>0</v>
      </c>
      <c r="X68" s="45">
        <f t="shared" si="1"/>
        <v>0</v>
      </c>
      <c r="Y68" s="45">
        <f t="shared" si="1"/>
        <v>0</v>
      </c>
      <c r="Z68" s="45">
        <f t="shared" si="1"/>
        <v>920</v>
      </c>
      <c r="AA68" s="45">
        <f t="shared" si="1"/>
        <v>510</v>
      </c>
      <c r="AB68" s="45">
        <f t="shared" si="1"/>
        <v>830</v>
      </c>
      <c r="AC68" s="45">
        <f t="shared" si="1"/>
        <v>0</v>
      </c>
      <c r="AD68" s="45">
        <f t="shared" si="1"/>
        <v>600</v>
      </c>
      <c r="AE68" s="45">
        <f t="shared" si="1"/>
        <v>0</v>
      </c>
      <c r="AF68" s="45">
        <f t="shared" si="1"/>
        <v>0</v>
      </c>
      <c r="AG68" s="45">
        <f t="shared" si="1"/>
        <v>380</v>
      </c>
      <c r="AH68" s="45">
        <f t="shared" si="1"/>
        <v>710</v>
      </c>
      <c r="AI68" s="45">
        <f t="shared" si="1"/>
        <v>0</v>
      </c>
      <c r="AJ68" s="45">
        <f t="shared" si="1"/>
        <v>0</v>
      </c>
      <c r="AK68" s="46">
        <f>SUM(F68:AJ68)</f>
        <v>6630</v>
      </c>
      <c r="AL68" s="47">
        <f>AL67</f>
        <v>0</v>
      </c>
      <c r="AM68" s="48" t="e">
        <f t="shared" si="0"/>
        <v>#DIV/0!</v>
      </c>
    </row>
    <row r="69" spans="2:41" ht="15.75" x14ac:dyDescent="0.25">
      <c r="B69" s="50" t="s">
        <v>18</v>
      </c>
      <c r="C69" s="51" t="s">
        <v>27</v>
      </c>
      <c r="D69" s="52" t="s">
        <v>22</v>
      </c>
      <c r="E69" s="53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5"/>
      <c r="AL69" s="56"/>
      <c r="AM69" s="57"/>
    </row>
    <row r="70" spans="2:41" ht="29.25" customHeight="1" x14ac:dyDescent="0.25">
      <c r="B70" s="110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2"/>
    </row>
    <row r="71" spans="2:41" ht="29.25" customHeight="1" x14ac:dyDescent="0.25">
      <c r="B71" s="110" t="s">
        <v>90</v>
      </c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2"/>
    </row>
    <row r="72" spans="2:41" ht="30.75" customHeight="1" x14ac:dyDescent="0.25">
      <c r="B72" s="113" t="s">
        <v>31</v>
      </c>
      <c r="C72" s="114"/>
      <c r="D72" s="22"/>
      <c r="E72" s="23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25"/>
      <c r="AL72" s="26"/>
      <c r="AM72" s="27"/>
    </row>
    <row r="73" spans="2:41" ht="15.75" x14ac:dyDescent="0.25">
      <c r="B73" s="102" t="s">
        <v>21</v>
      </c>
      <c r="C73" s="28" t="s">
        <v>17</v>
      </c>
      <c r="D73" s="103" t="s">
        <v>22</v>
      </c>
      <c r="E73" s="30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104">
        <f>SUM(F74:AJ74)</f>
        <v>3552</v>
      </c>
      <c r="AL73" s="106">
        <f>SUM(F73:AJ73)</f>
        <v>0</v>
      </c>
      <c r="AM73" s="108" t="e">
        <f t="shared" si="0"/>
        <v>#DIV/0!</v>
      </c>
      <c r="AO73" s="60"/>
    </row>
    <row r="74" spans="2:41" ht="18.75" x14ac:dyDescent="0.25">
      <c r="B74" s="102"/>
      <c r="C74" s="28" t="s">
        <v>16</v>
      </c>
      <c r="D74" s="103"/>
      <c r="E74" s="34">
        <f>3621+AK73</f>
        <v>7173</v>
      </c>
      <c r="F74" s="35"/>
      <c r="G74" s="36"/>
      <c r="H74" s="36"/>
      <c r="I74" s="36"/>
      <c r="J74" s="38"/>
      <c r="K74" s="36">
        <v>468</v>
      </c>
      <c r="L74" s="36">
        <v>408</v>
      </c>
      <c r="M74" s="36">
        <v>180</v>
      </c>
      <c r="N74" s="36">
        <v>96</v>
      </c>
      <c r="O74" s="36">
        <v>252</v>
      </c>
      <c r="P74" s="36">
        <v>216</v>
      </c>
      <c r="Q74" s="36"/>
      <c r="R74" s="36">
        <v>276</v>
      </c>
      <c r="S74" s="36"/>
      <c r="T74" s="36"/>
      <c r="U74" s="36">
        <v>240</v>
      </c>
      <c r="V74" s="36"/>
      <c r="W74" s="36"/>
      <c r="X74" s="36"/>
      <c r="Y74" s="36">
        <v>84</v>
      </c>
      <c r="Z74" s="36"/>
      <c r="AA74" s="36">
        <v>192</v>
      </c>
      <c r="AB74" s="36">
        <v>264</v>
      </c>
      <c r="AC74" s="36"/>
      <c r="AD74" s="36">
        <v>204</v>
      </c>
      <c r="AE74" s="36"/>
      <c r="AF74" s="36">
        <v>300</v>
      </c>
      <c r="AG74" s="36">
        <f>108+132</f>
        <v>240</v>
      </c>
      <c r="AH74" s="36"/>
      <c r="AI74" s="36">
        <v>132</v>
      </c>
      <c r="AJ74" s="36"/>
      <c r="AK74" s="105"/>
      <c r="AL74" s="107"/>
      <c r="AM74" s="109"/>
    </row>
    <row r="75" spans="2:41" ht="15.75" x14ac:dyDescent="0.25">
      <c r="B75" s="102" t="s">
        <v>23</v>
      </c>
      <c r="C75" s="28" t="s">
        <v>17</v>
      </c>
      <c r="D75" s="103" t="s">
        <v>22</v>
      </c>
      <c r="E75" s="30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104">
        <f>SUM(F76:AJ76)</f>
        <v>117</v>
      </c>
      <c r="AL75" s="106">
        <f>SUM(F75:AJ75)</f>
        <v>0</v>
      </c>
      <c r="AM75" s="108" t="e">
        <f t="shared" si="0"/>
        <v>#DIV/0!</v>
      </c>
    </row>
    <row r="76" spans="2:41" ht="18.75" x14ac:dyDescent="0.25">
      <c r="B76" s="102"/>
      <c r="C76" s="28" t="s">
        <v>16</v>
      </c>
      <c r="D76" s="103"/>
      <c r="E76" s="34">
        <f>1908+AK75</f>
        <v>2025</v>
      </c>
      <c r="F76" s="37"/>
      <c r="G76" s="38"/>
      <c r="H76" s="38"/>
      <c r="I76" s="38"/>
      <c r="J76" s="38"/>
      <c r="K76" s="38"/>
      <c r="L76" s="38"/>
      <c r="M76" s="38">
        <v>72</v>
      </c>
      <c r="N76" s="38"/>
      <c r="O76" s="38"/>
      <c r="P76" s="38"/>
      <c r="Q76" s="38"/>
      <c r="R76" s="38"/>
      <c r="S76" s="38"/>
      <c r="T76" s="38"/>
      <c r="U76" s="38">
        <v>45</v>
      </c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105"/>
      <c r="AL76" s="107"/>
      <c r="AM76" s="109"/>
    </row>
    <row r="77" spans="2:41" ht="31.5" x14ac:dyDescent="0.25">
      <c r="B77" s="101" t="s">
        <v>24</v>
      </c>
      <c r="C77" s="39" t="s">
        <v>25</v>
      </c>
      <c r="D77" s="29" t="s">
        <v>22</v>
      </c>
      <c r="E77" s="40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>
        <f>AK73+AK75</f>
        <v>3669</v>
      </c>
      <c r="AL77" s="42">
        <f>AL73+AL75</f>
        <v>0</v>
      </c>
      <c r="AM77" s="33" t="e">
        <f t="shared" si="0"/>
        <v>#DIV/0!</v>
      </c>
    </row>
    <row r="78" spans="2:41" ht="31.5" x14ac:dyDescent="0.25">
      <c r="B78" s="101"/>
      <c r="C78" s="39" t="s">
        <v>26</v>
      </c>
      <c r="D78" s="29" t="s">
        <v>22</v>
      </c>
      <c r="E78" s="43">
        <f>+AK78</f>
        <v>3669</v>
      </c>
      <c r="F78" s="44">
        <f>+F76+F74</f>
        <v>0</v>
      </c>
      <c r="G78" s="45">
        <f>+G76+G74</f>
        <v>0</v>
      </c>
      <c r="H78" s="45">
        <f t="shared" si="1"/>
        <v>0</v>
      </c>
      <c r="I78" s="45">
        <f t="shared" si="1"/>
        <v>0</v>
      </c>
      <c r="J78" s="45">
        <f t="shared" si="1"/>
        <v>0</v>
      </c>
      <c r="K78" s="45">
        <f t="shared" si="1"/>
        <v>468</v>
      </c>
      <c r="L78" s="45">
        <f t="shared" si="1"/>
        <v>408</v>
      </c>
      <c r="M78" s="45">
        <f t="shared" si="1"/>
        <v>252</v>
      </c>
      <c r="N78" s="45">
        <f t="shared" si="1"/>
        <v>96</v>
      </c>
      <c r="O78" s="45">
        <f t="shared" si="1"/>
        <v>252</v>
      </c>
      <c r="P78" s="45">
        <f t="shared" si="1"/>
        <v>216</v>
      </c>
      <c r="Q78" s="45">
        <f t="shared" si="1"/>
        <v>0</v>
      </c>
      <c r="R78" s="45">
        <f t="shared" si="1"/>
        <v>276</v>
      </c>
      <c r="S78" s="45">
        <f t="shared" si="1"/>
        <v>0</v>
      </c>
      <c r="T78" s="45">
        <f t="shared" si="1"/>
        <v>0</v>
      </c>
      <c r="U78" s="45">
        <f t="shared" si="1"/>
        <v>285</v>
      </c>
      <c r="V78" s="45">
        <f t="shared" si="1"/>
        <v>0</v>
      </c>
      <c r="W78" s="45">
        <f t="shared" si="1"/>
        <v>0</v>
      </c>
      <c r="X78" s="45">
        <f t="shared" si="1"/>
        <v>0</v>
      </c>
      <c r="Y78" s="45">
        <f t="shared" si="1"/>
        <v>84</v>
      </c>
      <c r="Z78" s="45">
        <f t="shared" si="1"/>
        <v>0</v>
      </c>
      <c r="AA78" s="45">
        <f t="shared" si="1"/>
        <v>192</v>
      </c>
      <c r="AB78" s="45">
        <f t="shared" si="1"/>
        <v>264</v>
      </c>
      <c r="AC78" s="45">
        <f t="shared" si="1"/>
        <v>0</v>
      </c>
      <c r="AD78" s="45">
        <f t="shared" si="1"/>
        <v>204</v>
      </c>
      <c r="AE78" s="45">
        <f t="shared" si="1"/>
        <v>0</v>
      </c>
      <c r="AF78" s="45">
        <f t="shared" si="1"/>
        <v>300</v>
      </c>
      <c r="AG78" s="45">
        <f t="shared" si="1"/>
        <v>240</v>
      </c>
      <c r="AH78" s="45">
        <f t="shared" si="1"/>
        <v>0</v>
      </c>
      <c r="AI78" s="45">
        <f t="shared" si="1"/>
        <v>132</v>
      </c>
      <c r="AJ78" s="45">
        <f t="shared" si="1"/>
        <v>0</v>
      </c>
      <c r="AK78" s="46">
        <f>SUM(F78:AJ78)</f>
        <v>3669</v>
      </c>
      <c r="AL78" s="47">
        <f>AL77</f>
        <v>0</v>
      </c>
      <c r="AM78" s="48" t="e">
        <f t="shared" si="0"/>
        <v>#DIV/0!</v>
      </c>
    </row>
    <row r="79" spans="2:41" ht="15.75" x14ac:dyDescent="0.25">
      <c r="B79" s="61" t="s">
        <v>18</v>
      </c>
      <c r="C79" s="62" t="s">
        <v>27</v>
      </c>
      <c r="D79" s="63" t="s">
        <v>22</v>
      </c>
      <c r="E79" s="64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6"/>
      <c r="AL79" s="67"/>
      <c r="AM79" s="68"/>
    </row>
    <row r="80" spans="2:41" ht="15" customHeight="1" x14ac:dyDescent="0.25">
      <c r="B80" s="136">
        <v>235</v>
      </c>
      <c r="C80" s="137"/>
      <c r="D80" s="138"/>
      <c r="E80" s="71"/>
      <c r="F80" s="72"/>
      <c r="G80" s="71"/>
      <c r="H80" s="72"/>
      <c r="I80" s="72"/>
      <c r="J80" s="72"/>
      <c r="K80" s="72">
        <v>5</v>
      </c>
      <c r="L80" s="72">
        <v>6</v>
      </c>
      <c r="M80" s="72">
        <v>5</v>
      </c>
      <c r="N80" s="72">
        <v>2</v>
      </c>
      <c r="O80" s="72">
        <v>5</v>
      </c>
      <c r="P80" s="72">
        <v>6</v>
      </c>
      <c r="Q80" s="72"/>
      <c r="R80" s="72">
        <f>6+4</f>
        <v>10</v>
      </c>
      <c r="S80" s="72"/>
      <c r="T80" s="72"/>
      <c r="U80" s="72">
        <v>1</v>
      </c>
      <c r="V80" s="72"/>
      <c r="W80" s="72"/>
      <c r="X80" s="72"/>
      <c r="Y80" s="72">
        <v>3</v>
      </c>
      <c r="Z80" s="72">
        <v>5</v>
      </c>
      <c r="AA80" s="72">
        <v>5</v>
      </c>
      <c r="AB80" s="72">
        <v>4</v>
      </c>
      <c r="AC80" s="71"/>
      <c r="AD80" s="72">
        <v>4</v>
      </c>
      <c r="AE80" s="71"/>
      <c r="AF80" s="72">
        <v>2</v>
      </c>
      <c r="AG80" s="72">
        <v>3</v>
      </c>
      <c r="AH80" s="72"/>
      <c r="AI80" s="72">
        <v>6</v>
      </c>
      <c r="AJ80" s="71"/>
      <c r="AK80" s="71"/>
      <c r="AL80" s="71"/>
      <c r="AM80" s="71"/>
    </row>
    <row r="81" spans="2:39" ht="15" customHeight="1" x14ac:dyDescent="0.25">
      <c r="B81" s="136">
        <v>771</v>
      </c>
      <c r="C81" s="137"/>
      <c r="D81" s="138"/>
      <c r="E81" s="71"/>
      <c r="F81" s="72"/>
      <c r="G81" s="71"/>
      <c r="H81" s="72"/>
      <c r="I81" s="72"/>
      <c r="J81" s="72"/>
      <c r="K81" s="72">
        <v>2</v>
      </c>
      <c r="L81" s="72">
        <v>6</v>
      </c>
      <c r="M81" s="72"/>
      <c r="N81" s="72"/>
      <c r="O81" s="72"/>
      <c r="P81" s="72">
        <v>6</v>
      </c>
      <c r="Q81" s="72"/>
      <c r="R81" s="72">
        <v>1</v>
      </c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1"/>
      <c r="AD81" s="72">
        <v>4</v>
      </c>
      <c r="AE81" s="71"/>
      <c r="AF81" s="72"/>
      <c r="AG81" s="72"/>
      <c r="AH81" s="72"/>
      <c r="AI81" s="72"/>
      <c r="AJ81" s="71"/>
      <c r="AK81" s="71"/>
      <c r="AL81" s="71"/>
      <c r="AM81" s="71"/>
    </row>
    <row r="82" spans="2:39" ht="15" customHeight="1" x14ac:dyDescent="0.25">
      <c r="B82" s="136">
        <v>317</v>
      </c>
      <c r="C82" s="137"/>
      <c r="D82" s="138"/>
      <c r="E82" s="71"/>
      <c r="F82" s="72"/>
      <c r="G82" s="72"/>
      <c r="H82" s="72"/>
      <c r="I82" s="72"/>
      <c r="J82" s="72"/>
      <c r="K82" s="72">
        <v>6</v>
      </c>
      <c r="L82" s="72">
        <v>7</v>
      </c>
      <c r="M82" s="72">
        <v>3</v>
      </c>
      <c r="N82" s="72">
        <v>1</v>
      </c>
      <c r="O82" s="72">
        <v>4</v>
      </c>
      <c r="P82" s="72">
        <v>3</v>
      </c>
      <c r="Q82" s="72"/>
      <c r="R82" s="72">
        <v>6</v>
      </c>
      <c r="S82" s="72"/>
      <c r="T82" s="72"/>
      <c r="U82" s="72">
        <v>6</v>
      </c>
      <c r="V82" s="72"/>
      <c r="W82" s="72"/>
      <c r="X82" s="72"/>
      <c r="Y82" s="72"/>
      <c r="Z82" s="72">
        <v>5</v>
      </c>
      <c r="AA82" s="72">
        <v>5</v>
      </c>
      <c r="AB82" s="72">
        <v>6</v>
      </c>
      <c r="AC82" s="71"/>
      <c r="AD82" s="72"/>
      <c r="AE82" s="71"/>
      <c r="AF82" s="72">
        <v>6</v>
      </c>
      <c r="AG82" s="72"/>
      <c r="AH82" s="72"/>
      <c r="AI82" s="72"/>
      <c r="AJ82" s="71"/>
      <c r="AK82" s="71"/>
      <c r="AL82" s="71"/>
      <c r="AM82" s="71"/>
    </row>
    <row r="83" spans="2:39" ht="15" customHeight="1" x14ac:dyDescent="0.25">
      <c r="B83" s="136">
        <v>912</v>
      </c>
      <c r="C83" s="137"/>
      <c r="D83" s="138"/>
      <c r="E83" s="71"/>
      <c r="F83" s="72"/>
      <c r="G83" s="71"/>
      <c r="H83" s="72"/>
      <c r="I83" s="72"/>
      <c r="J83" s="72"/>
      <c r="K83" s="72">
        <v>4</v>
      </c>
      <c r="L83" s="72">
        <v>5</v>
      </c>
      <c r="M83" s="72">
        <v>5</v>
      </c>
      <c r="N83" s="72">
        <v>3</v>
      </c>
      <c r="O83" s="72">
        <v>4</v>
      </c>
      <c r="P83" s="72">
        <v>2</v>
      </c>
      <c r="Q83" s="72"/>
      <c r="R83" s="72">
        <v>4</v>
      </c>
      <c r="S83" s="72"/>
      <c r="T83" s="72"/>
      <c r="U83" s="72">
        <v>5</v>
      </c>
      <c r="V83" s="72"/>
      <c r="W83" s="72"/>
      <c r="X83" s="72"/>
      <c r="Y83" s="72">
        <v>2</v>
      </c>
      <c r="Z83" s="72">
        <v>4</v>
      </c>
      <c r="AA83" s="72">
        <v>4</v>
      </c>
      <c r="AB83" s="72">
        <v>3</v>
      </c>
      <c r="AC83" s="71"/>
      <c r="AD83" s="72">
        <v>3</v>
      </c>
      <c r="AE83" s="71"/>
      <c r="AF83" s="72">
        <v>6</v>
      </c>
      <c r="AG83" s="72">
        <f>3+5</f>
        <v>8</v>
      </c>
      <c r="AH83" s="72"/>
      <c r="AI83" s="72">
        <v>1</v>
      </c>
      <c r="AJ83" s="71"/>
      <c r="AK83" s="71"/>
      <c r="AL83" s="71"/>
      <c r="AM83" s="71"/>
    </row>
    <row r="84" spans="2:39" ht="15" customHeight="1" x14ac:dyDescent="0.25">
      <c r="B84" s="136">
        <v>351</v>
      </c>
      <c r="C84" s="137"/>
      <c r="D84" s="138"/>
      <c r="E84" s="71"/>
      <c r="F84" s="72"/>
      <c r="G84" s="71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1"/>
      <c r="AB84" s="72"/>
      <c r="AC84" s="71"/>
      <c r="AD84" s="72"/>
      <c r="AE84" s="71"/>
      <c r="AF84" s="72"/>
      <c r="AG84" s="72"/>
      <c r="AH84" s="72"/>
      <c r="AI84" s="72"/>
      <c r="AJ84" s="71"/>
      <c r="AK84" s="71"/>
      <c r="AL84" s="71"/>
      <c r="AM84" s="71"/>
    </row>
    <row r="85" spans="2:39" ht="15" customHeight="1" x14ac:dyDescent="0.25">
      <c r="B85" s="136">
        <v>275</v>
      </c>
      <c r="C85" s="137"/>
      <c r="D85" s="138"/>
      <c r="E85" s="71"/>
      <c r="F85" s="71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1"/>
      <c r="AB85" s="72"/>
      <c r="AC85" s="71"/>
      <c r="AD85" s="72"/>
      <c r="AE85" s="71"/>
      <c r="AF85" s="72"/>
      <c r="AG85" s="72"/>
      <c r="AH85" s="72"/>
      <c r="AI85" s="72"/>
      <c r="AJ85" s="71"/>
      <c r="AK85" s="71"/>
      <c r="AL85" s="71"/>
      <c r="AM85" s="71"/>
    </row>
    <row r="86" spans="2:39" ht="15" customHeight="1" x14ac:dyDescent="0.25">
      <c r="B86" s="136">
        <v>312</v>
      </c>
      <c r="C86" s="137"/>
      <c r="D86" s="138"/>
      <c r="E86" s="71"/>
      <c r="F86" s="71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1"/>
      <c r="AB86" s="72"/>
      <c r="AC86" s="71"/>
      <c r="AD86" s="72"/>
      <c r="AE86" s="71"/>
      <c r="AF86" s="72"/>
      <c r="AG86" s="72"/>
      <c r="AH86" s="72"/>
      <c r="AI86" s="72"/>
      <c r="AJ86" s="71"/>
      <c r="AK86" s="71"/>
      <c r="AL86" s="71"/>
      <c r="AM86" s="71"/>
    </row>
    <row r="87" spans="2:39" ht="15" customHeight="1" x14ac:dyDescent="0.25">
      <c r="B87" s="136">
        <v>354</v>
      </c>
      <c r="C87" s="137"/>
      <c r="D87" s="138"/>
      <c r="E87" s="71"/>
      <c r="F87" s="71"/>
      <c r="G87" s="72"/>
      <c r="H87" s="72"/>
      <c r="I87" s="72"/>
      <c r="J87" s="72"/>
      <c r="K87" s="72">
        <v>3</v>
      </c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1"/>
      <c r="AB87" s="72"/>
      <c r="AC87" s="71"/>
      <c r="AD87" s="72"/>
      <c r="AE87" s="71"/>
      <c r="AF87" s="72"/>
      <c r="AG87" s="72"/>
      <c r="AH87" s="72"/>
      <c r="AI87" s="72"/>
      <c r="AJ87" s="71"/>
      <c r="AK87" s="71"/>
      <c r="AL87" s="71"/>
      <c r="AM87" s="71"/>
    </row>
    <row r="88" spans="2:39" ht="15" customHeight="1" x14ac:dyDescent="0.25">
      <c r="B88" s="136">
        <v>394</v>
      </c>
      <c r="C88" s="137"/>
      <c r="D88" s="138"/>
      <c r="E88" s="71"/>
      <c r="F88" s="71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1"/>
      <c r="AB88" s="72"/>
      <c r="AC88" s="71"/>
      <c r="AD88" s="72"/>
      <c r="AE88" s="71"/>
      <c r="AF88" s="72"/>
      <c r="AG88" s="72"/>
      <c r="AH88" s="72"/>
      <c r="AI88" s="72"/>
      <c r="AJ88" s="71"/>
      <c r="AK88" s="71"/>
      <c r="AL88" s="71"/>
      <c r="AM88" s="71"/>
    </row>
    <row r="89" spans="2:39" ht="15" customHeight="1" x14ac:dyDescent="0.25">
      <c r="B89" s="136">
        <v>261</v>
      </c>
      <c r="C89" s="137"/>
      <c r="D89" s="138"/>
      <c r="E89" s="71"/>
      <c r="F89" s="71"/>
      <c r="G89" s="72"/>
      <c r="H89" s="72"/>
      <c r="I89" s="72"/>
      <c r="J89" s="72"/>
      <c r="K89" s="72">
        <v>5</v>
      </c>
      <c r="L89" s="72">
        <v>6</v>
      </c>
      <c r="M89" s="72">
        <v>3</v>
      </c>
      <c r="N89" s="72">
        <v>1</v>
      </c>
      <c r="O89" s="72">
        <v>4</v>
      </c>
      <c r="P89" s="72"/>
      <c r="Q89" s="72"/>
      <c r="R89" s="72">
        <f>1+5</f>
        <v>6</v>
      </c>
      <c r="S89" s="72"/>
      <c r="T89" s="72"/>
      <c r="U89" s="72">
        <v>2</v>
      </c>
      <c r="V89" s="72"/>
      <c r="W89" s="72"/>
      <c r="X89" s="72"/>
      <c r="Y89" s="72"/>
      <c r="Z89" s="72">
        <v>5</v>
      </c>
      <c r="AA89" s="71"/>
      <c r="AB89" s="72">
        <v>5</v>
      </c>
      <c r="AC89" s="71"/>
      <c r="AD89" s="72">
        <v>3</v>
      </c>
      <c r="AE89" s="71"/>
      <c r="AF89" s="72">
        <v>5</v>
      </c>
      <c r="AG89" s="72">
        <f>3+6</f>
        <v>9</v>
      </c>
      <c r="AH89" s="72"/>
      <c r="AI89" s="72"/>
      <c r="AJ89" s="71"/>
      <c r="AK89" s="71"/>
      <c r="AL89" s="71"/>
      <c r="AM89" s="71"/>
    </row>
    <row r="90" spans="2:39" ht="15" customHeight="1" x14ac:dyDescent="0.25">
      <c r="B90" s="136">
        <v>344</v>
      </c>
      <c r="C90" s="137"/>
      <c r="D90" s="138"/>
      <c r="E90" s="71"/>
      <c r="F90" s="71"/>
      <c r="G90" s="72"/>
      <c r="H90" s="71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1"/>
      <c r="AB90" s="72"/>
      <c r="AC90" s="71"/>
      <c r="AD90" s="72"/>
      <c r="AE90" s="71"/>
      <c r="AF90" s="71"/>
      <c r="AG90" s="72"/>
      <c r="AH90" s="72"/>
      <c r="AI90" s="72"/>
      <c r="AJ90" s="71"/>
      <c r="AK90" s="71"/>
      <c r="AL90" s="71"/>
      <c r="AM90" s="71"/>
    </row>
    <row r="91" spans="2:39" ht="15" customHeight="1" x14ac:dyDescent="0.25">
      <c r="B91" s="136">
        <v>958</v>
      </c>
      <c r="C91" s="137"/>
      <c r="D91" s="138"/>
      <c r="E91" s="71"/>
      <c r="F91" s="71"/>
      <c r="G91" s="72"/>
      <c r="H91" s="71"/>
      <c r="I91" s="71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1"/>
      <c r="AB91" s="72"/>
      <c r="AC91" s="71"/>
      <c r="AD91" s="72"/>
      <c r="AE91" s="71"/>
      <c r="AF91" s="71"/>
      <c r="AG91" s="72"/>
      <c r="AH91" s="72"/>
      <c r="AI91" s="72"/>
      <c r="AJ91" s="71"/>
      <c r="AK91" s="71"/>
      <c r="AL91" s="71"/>
      <c r="AM91" s="71"/>
    </row>
    <row r="92" spans="2:39" ht="15" customHeight="1" x14ac:dyDescent="0.25">
      <c r="B92" s="136">
        <v>358</v>
      </c>
      <c r="C92" s="137"/>
      <c r="D92" s="138"/>
      <c r="E92" s="71"/>
      <c r="F92" s="71"/>
      <c r="G92" s="72"/>
      <c r="H92" s="71"/>
      <c r="I92" s="71"/>
      <c r="J92" s="71"/>
      <c r="K92" s="72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2"/>
      <c r="AC92" s="71"/>
      <c r="AD92" s="72"/>
      <c r="AE92" s="71"/>
      <c r="AF92" s="71"/>
      <c r="AG92" s="72"/>
      <c r="AH92" s="72"/>
      <c r="AI92" s="72"/>
      <c r="AJ92" s="71"/>
      <c r="AK92" s="71"/>
      <c r="AL92" s="71"/>
      <c r="AM92" s="71"/>
    </row>
    <row r="93" spans="2:39" ht="15" customHeight="1" x14ac:dyDescent="0.25">
      <c r="B93" s="136">
        <v>928</v>
      </c>
      <c r="C93" s="137"/>
      <c r="D93" s="138"/>
      <c r="E93" s="71"/>
      <c r="F93" s="71"/>
      <c r="G93" s="72"/>
      <c r="H93" s="71"/>
      <c r="I93" s="71"/>
      <c r="J93" s="71"/>
      <c r="K93" s="72">
        <v>5</v>
      </c>
      <c r="L93" s="72">
        <v>4</v>
      </c>
      <c r="M93" s="72">
        <v>5</v>
      </c>
      <c r="N93" s="72">
        <v>1</v>
      </c>
      <c r="O93" s="72">
        <v>4</v>
      </c>
      <c r="P93" s="72">
        <v>1</v>
      </c>
      <c r="Q93" s="72"/>
      <c r="R93" s="72">
        <v>5</v>
      </c>
      <c r="S93" s="72"/>
      <c r="T93" s="72"/>
      <c r="U93" s="72">
        <v>4</v>
      </c>
      <c r="V93" s="72"/>
      <c r="W93" s="72"/>
      <c r="X93" s="72"/>
      <c r="Y93" s="72">
        <v>2</v>
      </c>
      <c r="Z93" s="72">
        <v>4</v>
      </c>
      <c r="AA93" s="72">
        <v>2</v>
      </c>
      <c r="AB93" s="72">
        <v>4</v>
      </c>
      <c r="AC93" s="72"/>
      <c r="AD93" s="72">
        <v>3</v>
      </c>
      <c r="AE93" s="72"/>
      <c r="AF93" s="72">
        <v>6</v>
      </c>
      <c r="AG93" s="72"/>
      <c r="AH93" s="72"/>
      <c r="AI93" s="72">
        <v>4</v>
      </c>
      <c r="AJ93" s="72"/>
      <c r="AK93" s="72"/>
      <c r="AL93" s="72"/>
      <c r="AM93" s="72"/>
    </row>
    <row r="94" spans="2:39" ht="15" customHeight="1" x14ac:dyDescent="0.25">
      <c r="B94" s="136">
        <v>581</v>
      </c>
      <c r="C94" s="137"/>
      <c r="D94" s="138"/>
      <c r="E94" s="71"/>
      <c r="F94" s="71"/>
      <c r="G94" s="72"/>
      <c r="H94" s="71"/>
      <c r="I94" s="71"/>
      <c r="J94" s="71"/>
      <c r="K94" s="72">
        <v>6</v>
      </c>
      <c r="L94" s="71"/>
      <c r="M94" s="71"/>
      <c r="N94" s="71"/>
      <c r="O94" s="71"/>
      <c r="P94" s="71"/>
      <c r="Q94" s="71"/>
      <c r="R94" s="71"/>
      <c r="S94" s="72"/>
      <c r="T94" s="72"/>
      <c r="U94" s="72"/>
      <c r="V94" s="71"/>
      <c r="W94" s="71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</row>
    <row r="95" spans="2:39" ht="15" customHeight="1" x14ac:dyDescent="0.25">
      <c r="B95" s="136">
        <v>683</v>
      </c>
      <c r="C95" s="137"/>
      <c r="D95" s="138"/>
      <c r="E95" s="71"/>
      <c r="F95" s="71"/>
      <c r="G95" s="72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2"/>
      <c r="T95" s="72"/>
      <c r="U95" s="72"/>
      <c r="V95" s="71"/>
      <c r="W95" s="71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</row>
    <row r="96" spans="2:39" ht="15" customHeight="1" x14ac:dyDescent="0.25">
      <c r="B96" s="136">
        <v>531</v>
      </c>
      <c r="C96" s="137"/>
      <c r="D96" s="138"/>
      <c r="E96" s="71"/>
      <c r="F96" s="71"/>
      <c r="G96" s="72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2"/>
      <c r="T96" s="72"/>
      <c r="U96" s="72"/>
      <c r="V96" s="71"/>
      <c r="W96" s="71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</row>
    <row r="97" spans="2:39" ht="15" customHeight="1" x14ac:dyDescent="0.25">
      <c r="B97" s="136">
        <v>926</v>
      </c>
      <c r="C97" s="137"/>
      <c r="D97" s="138"/>
      <c r="E97" s="71"/>
      <c r="F97" s="71"/>
      <c r="G97" s="72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2"/>
      <c r="T97" s="72"/>
      <c r="U97" s="72"/>
      <c r="V97" s="71"/>
      <c r="W97" s="71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</row>
    <row r="98" spans="2:39" ht="15" customHeight="1" x14ac:dyDescent="0.25">
      <c r="B98" s="136">
        <v>285</v>
      </c>
      <c r="C98" s="137"/>
      <c r="D98" s="138"/>
      <c r="E98" s="71"/>
      <c r="F98" s="71"/>
      <c r="G98" s="72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2"/>
      <c r="T98" s="72"/>
      <c r="U98" s="72">
        <v>5</v>
      </c>
      <c r="V98" s="71"/>
      <c r="W98" s="71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</row>
  </sheetData>
  <mergeCells count="133">
    <mergeCell ref="B22:B23"/>
    <mergeCell ref="O2:Z2"/>
    <mergeCell ref="AH2:AM2"/>
    <mergeCell ref="B3:AM3"/>
    <mergeCell ref="B4:D4"/>
    <mergeCell ref="E4:E6"/>
    <mergeCell ref="F4:AM4"/>
    <mergeCell ref="B5:D5"/>
    <mergeCell ref="AK5:AM5"/>
    <mergeCell ref="B6:D6"/>
    <mergeCell ref="B7:AM7"/>
    <mergeCell ref="B8:C8"/>
    <mergeCell ref="B9:B10"/>
    <mergeCell ref="D9:D10"/>
    <mergeCell ref="AK9:AK10"/>
    <mergeCell ref="AL9:AL10"/>
    <mergeCell ref="AM9:AM10"/>
    <mergeCell ref="B11:B12"/>
    <mergeCell ref="D11:D12"/>
    <mergeCell ref="AK11:AK12"/>
    <mergeCell ref="AL11:AL12"/>
    <mergeCell ref="AM11:AM12"/>
    <mergeCell ref="B13:B14"/>
    <mergeCell ref="B16:AM16"/>
    <mergeCell ref="B25:AM25"/>
    <mergeCell ref="B26:C26"/>
    <mergeCell ref="B27:B28"/>
    <mergeCell ref="D27:D28"/>
    <mergeCell ref="AK27:AK28"/>
    <mergeCell ref="AL27:AL28"/>
    <mergeCell ref="AM27:AM28"/>
    <mergeCell ref="B29:B30"/>
    <mergeCell ref="D29:D30"/>
    <mergeCell ref="AK29:AK30"/>
    <mergeCell ref="AL29:AL30"/>
    <mergeCell ref="AM29:AM30"/>
    <mergeCell ref="B17:C17"/>
    <mergeCell ref="B18:B19"/>
    <mergeCell ref="D18:D19"/>
    <mergeCell ref="AK18:AK19"/>
    <mergeCell ref="AL18:AL19"/>
    <mergeCell ref="AM18:AM19"/>
    <mergeCell ref="B20:B21"/>
    <mergeCell ref="D20:D21"/>
    <mergeCell ref="AK20:AK21"/>
    <mergeCell ref="AL20:AL21"/>
    <mergeCell ref="AM20:AM21"/>
    <mergeCell ref="B31:B32"/>
    <mergeCell ref="B43:AM43"/>
    <mergeCell ref="B44:C44"/>
    <mergeCell ref="B45:B46"/>
    <mergeCell ref="D45:D46"/>
    <mergeCell ref="AK45:AK46"/>
    <mergeCell ref="AL45:AL46"/>
    <mergeCell ref="AM45:AM46"/>
    <mergeCell ref="B47:B48"/>
    <mergeCell ref="D47:D48"/>
    <mergeCell ref="AK47:AK48"/>
    <mergeCell ref="AL47:AL48"/>
    <mergeCell ref="AM47:AM48"/>
    <mergeCell ref="B34:AM34"/>
    <mergeCell ref="B35:C35"/>
    <mergeCell ref="B36:B37"/>
    <mergeCell ref="D36:D37"/>
    <mergeCell ref="AK36:AK37"/>
    <mergeCell ref="AL36:AL37"/>
    <mergeCell ref="AM36:AM37"/>
    <mergeCell ref="B38:B39"/>
    <mergeCell ref="D38:D39"/>
    <mergeCell ref="AK38:AK39"/>
    <mergeCell ref="AL38:AL39"/>
    <mergeCell ref="B49:B50"/>
    <mergeCell ref="B52:AM52"/>
    <mergeCell ref="B53:C53"/>
    <mergeCell ref="B54:B55"/>
    <mergeCell ref="D54:D55"/>
    <mergeCell ref="AK54:AK55"/>
    <mergeCell ref="AL54:AL55"/>
    <mergeCell ref="AM54:AM55"/>
    <mergeCell ref="B56:B57"/>
    <mergeCell ref="D56:D57"/>
    <mergeCell ref="AK56:AK57"/>
    <mergeCell ref="AL56:AL57"/>
    <mergeCell ref="AM56:AM57"/>
    <mergeCell ref="B58:B59"/>
    <mergeCell ref="B61:AM61"/>
    <mergeCell ref="B62:C62"/>
    <mergeCell ref="B63:B64"/>
    <mergeCell ref="D63:D64"/>
    <mergeCell ref="AK63:AK64"/>
    <mergeCell ref="AL63:AL64"/>
    <mergeCell ref="AM63:AM64"/>
    <mergeCell ref="B65:B66"/>
    <mergeCell ref="D65:D66"/>
    <mergeCell ref="AK65:AK66"/>
    <mergeCell ref="AL65:AL66"/>
    <mergeCell ref="AM65:AM66"/>
    <mergeCell ref="B80:D80"/>
    <mergeCell ref="B81:D81"/>
    <mergeCell ref="B82:D82"/>
    <mergeCell ref="B67:B68"/>
    <mergeCell ref="B70:AM70"/>
    <mergeCell ref="B71:AM71"/>
    <mergeCell ref="B72:C72"/>
    <mergeCell ref="B73:B74"/>
    <mergeCell ref="D73:D74"/>
    <mergeCell ref="AK73:AK74"/>
    <mergeCell ref="AL73:AL74"/>
    <mergeCell ref="AM73:AM74"/>
    <mergeCell ref="B98:D98"/>
    <mergeCell ref="B95:D95"/>
    <mergeCell ref="B96:D96"/>
    <mergeCell ref="B97:D97"/>
    <mergeCell ref="AM38:AM39"/>
    <mergeCell ref="B40:B41"/>
    <mergeCell ref="B92:D92"/>
    <mergeCell ref="B93:D93"/>
    <mergeCell ref="B94:D94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75:B76"/>
    <mergeCell ref="D75:D76"/>
    <mergeCell ref="AK75:AK76"/>
    <mergeCell ref="AL75:AL76"/>
    <mergeCell ref="AM75:AM76"/>
    <mergeCell ref="B77:B78"/>
  </mergeCells>
  <pageMargins left="0.70866099999999987" right="0.70866099999999987" top="0.748031" bottom="0.748031" header="0.31496099999999999" footer="0.31496099999999999"/>
  <pageSetup paperSize="9" scale="2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364E-FF5A-4DF4-B525-EC4742F37FB2}">
  <sheetPr published="0">
    <pageSetUpPr fitToPage="1"/>
  </sheetPr>
  <dimension ref="A2:BR107"/>
  <sheetViews>
    <sheetView topLeftCell="B1" zoomScale="55" workbookViewId="0">
      <pane ySplit="6" topLeftCell="A7" activePane="bottomLeft" state="frozen"/>
      <selection activeCell="L60" activeCellId="1" sqref="L14 L60"/>
      <selection pane="bottomLeft" activeCell="R37" sqref="R37"/>
    </sheetView>
  </sheetViews>
  <sheetFormatPr defaultRowHeight="15" customHeight="1" x14ac:dyDescent="0.25"/>
  <cols>
    <col min="1" max="1" width="10.5703125" style="21" hidden="1" customWidth="1"/>
    <col min="2" max="2" width="9.42578125" style="21" customWidth="1"/>
    <col min="3" max="3" width="14.140625" style="21" customWidth="1"/>
    <col min="4" max="4" width="7.140625" style="21" customWidth="1"/>
    <col min="5" max="5" width="10.85546875" style="21" customWidth="1"/>
    <col min="6" max="10" width="10.28515625" style="21" customWidth="1"/>
    <col min="11" max="11" width="11.5703125" style="21" customWidth="1"/>
    <col min="12" max="34" width="10.28515625" style="21" customWidth="1"/>
    <col min="35" max="37" width="10.5703125" style="21" customWidth="1"/>
    <col min="38" max="38" width="10.7109375" style="21" customWidth="1"/>
    <col min="39" max="39" width="11.7109375" style="21" customWidth="1"/>
    <col min="40" max="40" width="10.5703125" style="21" customWidth="1"/>
    <col min="41" max="16384" width="9.140625" style="21"/>
  </cols>
  <sheetData>
    <row r="2" spans="1:70" s="1" customFormat="1" ht="30" customHeigh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3"/>
      <c r="AB2" s="3"/>
      <c r="AC2" s="3"/>
      <c r="AD2" s="3"/>
      <c r="AE2" s="3"/>
      <c r="AF2" s="3"/>
      <c r="AG2" s="3"/>
      <c r="AH2" s="118" t="s">
        <v>95</v>
      </c>
      <c r="AI2" s="118"/>
      <c r="AJ2" s="118"/>
      <c r="AK2" s="118"/>
      <c r="AL2" s="118"/>
      <c r="AM2" s="118"/>
      <c r="AN2" s="4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3"/>
      <c r="BO2" s="3"/>
      <c r="BP2" s="3"/>
      <c r="BQ2" s="3"/>
      <c r="BR2" s="3"/>
    </row>
    <row r="3" spans="1:70" s="1" customFormat="1" ht="30" customHeight="1" thickBot="1" x14ac:dyDescent="0.3">
      <c r="A3" s="6" t="s">
        <v>1</v>
      </c>
      <c r="B3" s="119" t="s">
        <v>2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7"/>
    </row>
    <row r="4" spans="1:70" s="1" customFormat="1" ht="30" customHeight="1" thickBot="1" x14ac:dyDescent="0.3">
      <c r="A4" s="8"/>
      <c r="B4" s="120" t="s">
        <v>3</v>
      </c>
      <c r="C4" s="121"/>
      <c r="D4" s="122"/>
      <c r="E4" s="123" t="s">
        <v>4</v>
      </c>
      <c r="F4" s="126" t="s">
        <v>92</v>
      </c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7"/>
      <c r="AN4" s="9"/>
    </row>
    <row r="5" spans="1:70" s="10" customFormat="1" ht="15" customHeight="1" x14ac:dyDescent="0.25">
      <c r="A5" s="11"/>
      <c r="B5" s="128" t="s">
        <v>6</v>
      </c>
      <c r="C5" s="129"/>
      <c r="D5" s="130"/>
      <c r="E5" s="124"/>
      <c r="F5" s="12">
        <v>1</v>
      </c>
      <c r="G5" s="13">
        <v>2</v>
      </c>
      <c r="H5" s="13">
        <v>3</v>
      </c>
      <c r="I5" s="13">
        <v>4</v>
      </c>
      <c r="J5" s="13">
        <v>5</v>
      </c>
      <c r="K5" s="13">
        <v>6</v>
      </c>
      <c r="L5" s="13">
        <v>7</v>
      </c>
      <c r="M5" s="13">
        <v>8</v>
      </c>
      <c r="N5" s="13">
        <v>9</v>
      </c>
      <c r="O5" s="13">
        <v>10</v>
      </c>
      <c r="P5" s="13">
        <v>11</v>
      </c>
      <c r="Q5" s="13">
        <v>12</v>
      </c>
      <c r="R5" s="13">
        <v>13</v>
      </c>
      <c r="S5" s="13">
        <v>14</v>
      </c>
      <c r="T5" s="13">
        <v>15</v>
      </c>
      <c r="U5" s="13">
        <v>16</v>
      </c>
      <c r="V5" s="13">
        <v>17</v>
      </c>
      <c r="W5" s="13">
        <v>18</v>
      </c>
      <c r="X5" s="13">
        <v>19</v>
      </c>
      <c r="Y5" s="13">
        <v>20</v>
      </c>
      <c r="Z5" s="13">
        <v>21</v>
      </c>
      <c r="AA5" s="13">
        <v>22</v>
      </c>
      <c r="AB5" s="13">
        <v>23</v>
      </c>
      <c r="AC5" s="13">
        <v>24</v>
      </c>
      <c r="AD5" s="13">
        <v>25</v>
      </c>
      <c r="AE5" s="13">
        <v>26</v>
      </c>
      <c r="AF5" s="13">
        <v>27</v>
      </c>
      <c r="AG5" s="14">
        <v>28</v>
      </c>
      <c r="AH5" s="13">
        <v>29</v>
      </c>
      <c r="AI5" s="14">
        <v>30</v>
      </c>
      <c r="AJ5" s="14">
        <v>31</v>
      </c>
      <c r="AK5" s="131" t="s">
        <v>7</v>
      </c>
      <c r="AL5" s="131"/>
      <c r="AM5" s="132"/>
      <c r="AN5" s="15"/>
    </row>
    <row r="6" spans="1:70" s="10" customFormat="1" ht="19.5" thickBot="1" x14ac:dyDescent="0.3">
      <c r="A6" s="16"/>
      <c r="B6" s="133" t="s">
        <v>8</v>
      </c>
      <c r="C6" s="134"/>
      <c r="D6" s="135"/>
      <c r="E6" s="125"/>
      <c r="F6" s="17" t="s">
        <v>14</v>
      </c>
      <c r="G6" s="17" t="s">
        <v>15</v>
      </c>
      <c r="H6" s="17" t="s">
        <v>9</v>
      </c>
      <c r="I6" s="17" t="s">
        <v>10</v>
      </c>
      <c r="J6" s="17" t="s">
        <v>11</v>
      </c>
      <c r="K6" s="17" t="s">
        <v>12</v>
      </c>
      <c r="L6" s="17" t="s">
        <v>13</v>
      </c>
      <c r="M6" s="17" t="s">
        <v>14</v>
      </c>
      <c r="N6" s="17" t="s">
        <v>15</v>
      </c>
      <c r="O6" s="17" t="s">
        <v>9</v>
      </c>
      <c r="P6" s="17" t="s">
        <v>10</v>
      </c>
      <c r="Q6" s="17" t="s">
        <v>11</v>
      </c>
      <c r="R6" s="17" t="s">
        <v>12</v>
      </c>
      <c r="S6" s="17" t="s">
        <v>13</v>
      </c>
      <c r="T6" s="17" t="s">
        <v>14</v>
      </c>
      <c r="U6" s="17" t="s">
        <v>15</v>
      </c>
      <c r="V6" s="17" t="s">
        <v>9</v>
      </c>
      <c r="W6" s="17" t="s">
        <v>10</v>
      </c>
      <c r="X6" s="17" t="s">
        <v>11</v>
      </c>
      <c r="Y6" s="17" t="s">
        <v>12</v>
      </c>
      <c r="Z6" s="17" t="s">
        <v>13</v>
      </c>
      <c r="AA6" s="17" t="s">
        <v>14</v>
      </c>
      <c r="AB6" s="17" t="s">
        <v>15</v>
      </c>
      <c r="AC6" s="17" t="s">
        <v>9</v>
      </c>
      <c r="AD6" s="17" t="s">
        <v>10</v>
      </c>
      <c r="AE6" s="17" t="s">
        <v>11</v>
      </c>
      <c r="AF6" s="17" t="s">
        <v>12</v>
      </c>
      <c r="AG6" s="17" t="s">
        <v>13</v>
      </c>
      <c r="AH6" s="17" t="s">
        <v>14</v>
      </c>
      <c r="AI6" s="17" t="s">
        <v>15</v>
      </c>
      <c r="AJ6" s="17" t="s">
        <v>9</v>
      </c>
      <c r="AK6" s="18" t="s">
        <v>16</v>
      </c>
      <c r="AL6" s="19" t="s">
        <v>17</v>
      </c>
      <c r="AM6" s="20" t="s">
        <v>18</v>
      </c>
      <c r="AN6" s="15"/>
    </row>
    <row r="7" spans="1:70" ht="33" customHeight="1" thickBot="1" x14ac:dyDescent="0.3">
      <c r="B7" s="110" t="s">
        <v>19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2"/>
    </row>
    <row r="8" spans="1:70" ht="15.75" x14ac:dyDescent="0.25">
      <c r="B8" s="115" t="s">
        <v>20</v>
      </c>
      <c r="C8" s="116"/>
      <c r="D8" s="22"/>
      <c r="E8" s="23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5"/>
      <c r="AL8" s="26"/>
      <c r="AM8" s="27"/>
    </row>
    <row r="9" spans="1:70" ht="15.75" x14ac:dyDescent="0.25">
      <c r="B9" s="102" t="s">
        <v>21</v>
      </c>
      <c r="C9" s="28" t="s">
        <v>17</v>
      </c>
      <c r="D9" s="103" t="s">
        <v>22</v>
      </c>
      <c r="E9" s="30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104">
        <f>SUM(F10:AJ10)</f>
        <v>3028</v>
      </c>
      <c r="AL9" s="106">
        <f>SUM(F9:AJ9)</f>
        <v>0</v>
      </c>
      <c r="AM9" s="108" t="e">
        <f>AK9/AL9*100</f>
        <v>#DIV/0!</v>
      </c>
      <c r="AO9" s="60"/>
    </row>
    <row r="10" spans="1:70" ht="18.75" x14ac:dyDescent="0.25">
      <c r="B10" s="102"/>
      <c r="C10" s="28" t="s">
        <v>16</v>
      </c>
      <c r="D10" s="103"/>
      <c r="E10" s="34">
        <f>23462+AK9</f>
        <v>26490</v>
      </c>
      <c r="F10" s="35"/>
      <c r="G10" s="36"/>
      <c r="H10" s="36"/>
      <c r="I10" s="36"/>
      <c r="J10" s="36">
        <v>240</v>
      </c>
      <c r="K10" s="36"/>
      <c r="L10" s="36">
        <v>90</v>
      </c>
      <c r="M10" s="36"/>
      <c r="N10" s="36"/>
      <c r="O10" s="36"/>
      <c r="P10" s="36">
        <v>80</v>
      </c>
      <c r="Q10" s="36"/>
      <c r="R10" s="36"/>
      <c r="S10" s="36"/>
      <c r="T10" s="36"/>
      <c r="U10" s="36"/>
      <c r="V10" s="36"/>
      <c r="W10" s="36"/>
      <c r="X10" s="36">
        <f>120+180</f>
        <v>300</v>
      </c>
      <c r="Y10" s="36"/>
      <c r="Z10" s="36">
        <v>260</v>
      </c>
      <c r="AA10" s="36">
        <v>362</v>
      </c>
      <c r="AB10" s="36">
        <v>416</v>
      </c>
      <c r="AC10" s="36">
        <v>450</v>
      </c>
      <c r="AD10" s="36">
        <f>180+180</f>
        <v>360</v>
      </c>
      <c r="AE10" s="36">
        <f>200</f>
        <v>200</v>
      </c>
      <c r="AF10" s="36">
        <f>140+130</f>
        <v>270</v>
      </c>
      <c r="AG10" s="36"/>
      <c r="AH10" s="36"/>
      <c r="AI10" s="36"/>
      <c r="AJ10" s="36"/>
      <c r="AK10" s="105"/>
      <c r="AL10" s="107"/>
      <c r="AM10" s="109"/>
    </row>
    <row r="11" spans="1:70" ht="15.75" x14ac:dyDescent="0.25">
      <c r="B11" s="102" t="s">
        <v>23</v>
      </c>
      <c r="C11" s="28" t="s">
        <v>17</v>
      </c>
      <c r="D11" s="103" t="s">
        <v>22</v>
      </c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04">
        <f>SUM(F12:AJ12)</f>
        <v>580</v>
      </c>
      <c r="AL11" s="106">
        <f>SUM(F11:AJ11)</f>
        <v>0</v>
      </c>
      <c r="AM11" s="108" t="e">
        <f>AK11/AL11*100</f>
        <v>#DIV/0!</v>
      </c>
      <c r="AO11" s="60"/>
    </row>
    <row r="12" spans="1:70" ht="18.75" x14ac:dyDescent="0.25">
      <c r="B12" s="102"/>
      <c r="C12" s="28" t="s">
        <v>16</v>
      </c>
      <c r="D12" s="103"/>
      <c r="E12" s="34">
        <f>19130+AK11</f>
        <v>19710</v>
      </c>
      <c r="F12" s="37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>
        <v>210</v>
      </c>
      <c r="Y12" s="38">
        <v>250</v>
      </c>
      <c r="Z12" s="38"/>
      <c r="AA12" s="36"/>
      <c r="AB12" s="38">
        <v>120</v>
      </c>
      <c r="AC12" s="38"/>
      <c r="AD12" s="38"/>
      <c r="AE12" s="38"/>
      <c r="AF12" s="38"/>
      <c r="AG12" s="38"/>
      <c r="AH12" s="38"/>
      <c r="AI12" s="38"/>
      <c r="AJ12" s="38"/>
      <c r="AK12" s="105"/>
      <c r="AL12" s="107"/>
      <c r="AM12" s="109"/>
    </row>
    <row r="13" spans="1:70" ht="32.25" thickBot="1" x14ac:dyDescent="0.3">
      <c r="B13" s="101" t="s">
        <v>24</v>
      </c>
      <c r="C13" s="39" t="s">
        <v>25</v>
      </c>
      <c r="D13" s="88" t="s">
        <v>22</v>
      </c>
      <c r="E13" s="40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>
        <f>AK9+AK11</f>
        <v>3608</v>
      </c>
      <c r="AL13" s="42">
        <f>AL9+AL11</f>
        <v>0</v>
      </c>
      <c r="AM13" s="90" t="e">
        <f t="shared" ref="AM13:AM87" si="0">AK13/AL13*100</f>
        <v>#DIV/0!</v>
      </c>
    </row>
    <row r="14" spans="1:70" ht="32.25" thickBot="1" x14ac:dyDescent="0.3">
      <c r="B14" s="101"/>
      <c r="C14" s="39" t="s">
        <v>26</v>
      </c>
      <c r="D14" s="88" t="s">
        <v>22</v>
      </c>
      <c r="E14" s="43">
        <f>E10+E12</f>
        <v>46200</v>
      </c>
      <c r="F14" s="44">
        <f>+F12+F10</f>
        <v>0</v>
      </c>
      <c r="G14" s="45">
        <f>+G12+G10</f>
        <v>0</v>
      </c>
      <c r="H14" s="45">
        <f t="shared" ref="H14:AJ50" si="1">+H12+H10</f>
        <v>0</v>
      </c>
      <c r="I14" s="45">
        <f t="shared" si="1"/>
        <v>0</v>
      </c>
      <c r="J14" s="45">
        <f t="shared" si="1"/>
        <v>240</v>
      </c>
      <c r="K14" s="45">
        <f t="shared" si="1"/>
        <v>0</v>
      </c>
      <c r="L14" s="45">
        <f t="shared" si="1"/>
        <v>90</v>
      </c>
      <c r="M14" s="45">
        <f t="shared" si="1"/>
        <v>0</v>
      </c>
      <c r="N14" s="45">
        <f t="shared" si="1"/>
        <v>0</v>
      </c>
      <c r="O14" s="45">
        <f t="shared" si="1"/>
        <v>0</v>
      </c>
      <c r="P14" s="45">
        <f t="shared" si="1"/>
        <v>80</v>
      </c>
      <c r="Q14" s="45">
        <f t="shared" si="1"/>
        <v>0</v>
      </c>
      <c r="R14" s="45">
        <f t="shared" si="1"/>
        <v>0</v>
      </c>
      <c r="S14" s="45">
        <f>+S12+S10</f>
        <v>0</v>
      </c>
      <c r="T14" s="45">
        <f t="shared" si="1"/>
        <v>0</v>
      </c>
      <c r="U14" s="45">
        <f t="shared" si="1"/>
        <v>0</v>
      </c>
      <c r="V14" s="45">
        <f t="shared" si="1"/>
        <v>0</v>
      </c>
      <c r="W14" s="45">
        <f t="shared" si="1"/>
        <v>0</v>
      </c>
      <c r="X14" s="45">
        <f t="shared" si="1"/>
        <v>510</v>
      </c>
      <c r="Y14" s="45">
        <f t="shared" si="1"/>
        <v>250</v>
      </c>
      <c r="Z14" s="45">
        <f t="shared" si="1"/>
        <v>260</v>
      </c>
      <c r="AA14" s="45">
        <f t="shared" si="1"/>
        <v>362</v>
      </c>
      <c r="AB14" s="45">
        <f t="shared" si="1"/>
        <v>536</v>
      </c>
      <c r="AC14" s="45">
        <f t="shared" si="1"/>
        <v>450</v>
      </c>
      <c r="AD14" s="45">
        <f t="shared" si="1"/>
        <v>360</v>
      </c>
      <c r="AE14" s="45">
        <f t="shared" si="1"/>
        <v>200</v>
      </c>
      <c r="AF14" s="45">
        <f t="shared" si="1"/>
        <v>270</v>
      </c>
      <c r="AG14" s="45">
        <f t="shared" si="1"/>
        <v>0</v>
      </c>
      <c r="AH14" s="45">
        <f t="shared" si="1"/>
        <v>0</v>
      </c>
      <c r="AI14" s="45">
        <f t="shared" si="1"/>
        <v>0</v>
      </c>
      <c r="AJ14" s="45">
        <f t="shared" si="1"/>
        <v>0</v>
      </c>
      <c r="AK14" s="46">
        <f>SUM(F14:AJ14)</f>
        <v>3608</v>
      </c>
      <c r="AL14" s="47">
        <f>AL13</f>
        <v>0</v>
      </c>
      <c r="AM14" s="48" t="e">
        <f t="shared" si="0"/>
        <v>#DIV/0!</v>
      </c>
      <c r="AN14" s="49"/>
    </row>
    <row r="15" spans="1:70" ht="16.5" thickBot="1" x14ac:dyDescent="0.3">
      <c r="B15" s="50" t="s">
        <v>18</v>
      </c>
      <c r="C15" s="51" t="s">
        <v>27</v>
      </c>
      <c r="D15" s="52" t="s">
        <v>22</v>
      </c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5"/>
      <c r="AL15" s="56"/>
      <c r="AM15" s="57"/>
    </row>
    <row r="16" spans="1:70" ht="32.25" customHeight="1" thickBot="1" x14ac:dyDescent="0.3">
      <c r="B16" s="110" t="s">
        <v>87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2"/>
    </row>
    <row r="17" spans="2:41" ht="15.75" x14ac:dyDescent="0.25">
      <c r="B17" s="115" t="s">
        <v>20</v>
      </c>
      <c r="C17" s="116"/>
      <c r="D17" s="22"/>
      <c r="E17" s="23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5"/>
      <c r="AL17" s="26"/>
      <c r="AM17" s="27"/>
    </row>
    <row r="18" spans="2:41" ht="15.75" x14ac:dyDescent="0.25">
      <c r="B18" s="102" t="s">
        <v>21</v>
      </c>
      <c r="C18" s="28" t="s">
        <v>17</v>
      </c>
      <c r="D18" s="103" t="s">
        <v>22</v>
      </c>
      <c r="E18" s="30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04">
        <f>SUM(F19:AJ19)</f>
        <v>1730</v>
      </c>
      <c r="AL18" s="106">
        <f>SUM(F18:AJ18)</f>
        <v>0</v>
      </c>
      <c r="AM18" s="108" t="e">
        <f t="shared" ref="AM18" si="2">AK18/AL18*100</f>
        <v>#DIV/0!</v>
      </c>
      <c r="AO18" s="60"/>
    </row>
    <row r="19" spans="2:41" ht="18.75" x14ac:dyDescent="0.25">
      <c r="B19" s="102"/>
      <c r="C19" s="28" t="s">
        <v>16</v>
      </c>
      <c r="D19" s="103"/>
      <c r="E19" s="34">
        <f>3070+AK18</f>
        <v>4800</v>
      </c>
      <c r="F19" s="36">
        <v>230</v>
      </c>
      <c r="G19" s="36">
        <v>270</v>
      </c>
      <c r="H19" s="36">
        <v>120</v>
      </c>
      <c r="I19" s="36">
        <v>90</v>
      </c>
      <c r="J19" s="36">
        <v>120</v>
      </c>
      <c r="K19" s="36">
        <v>70</v>
      </c>
      <c r="L19" s="36"/>
      <c r="M19" s="36"/>
      <c r="N19" s="36">
        <v>80</v>
      </c>
      <c r="O19" s="36">
        <v>50</v>
      </c>
      <c r="P19" s="36">
        <v>40</v>
      </c>
      <c r="Q19" s="36"/>
      <c r="R19" s="36">
        <v>70</v>
      </c>
      <c r="S19" s="36">
        <v>80</v>
      </c>
      <c r="T19" s="36">
        <v>160</v>
      </c>
      <c r="U19" s="36"/>
      <c r="V19" s="36"/>
      <c r="W19" s="36">
        <v>20</v>
      </c>
      <c r="X19" s="36">
        <v>60</v>
      </c>
      <c r="Y19" s="36"/>
      <c r="Z19" s="36"/>
      <c r="AA19" s="36"/>
      <c r="AB19" s="36"/>
      <c r="AC19" s="38">
        <v>270</v>
      </c>
      <c r="AD19" s="36"/>
      <c r="AE19" s="36"/>
      <c r="AF19" s="36"/>
      <c r="AG19" s="36"/>
      <c r="AH19" s="36"/>
      <c r="AI19" s="36"/>
      <c r="AJ19" s="36"/>
      <c r="AK19" s="105"/>
      <c r="AL19" s="107"/>
      <c r="AM19" s="109"/>
    </row>
    <row r="20" spans="2:41" ht="15.75" x14ac:dyDescent="0.25">
      <c r="B20" s="102" t="s">
        <v>23</v>
      </c>
      <c r="C20" s="28" t="s">
        <v>17</v>
      </c>
      <c r="D20" s="103" t="s">
        <v>22</v>
      </c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04">
        <f>SUM(F21:AJ21)</f>
        <v>3740</v>
      </c>
      <c r="AL20" s="106">
        <f>SUM(F20:AJ20)</f>
        <v>0</v>
      </c>
      <c r="AM20" s="108" t="e">
        <f t="shared" ref="AM20" si="3">AK20/AL20*100</f>
        <v>#DIV/0!</v>
      </c>
      <c r="AO20" s="60"/>
    </row>
    <row r="21" spans="2:41" ht="18.75" x14ac:dyDescent="0.25">
      <c r="B21" s="102"/>
      <c r="C21" s="28" t="s">
        <v>16</v>
      </c>
      <c r="D21" s="103"/>
      <c r="E21" s="34">
        <f>3880+AK20</f>
        <v>7620</v>
      </c>
      <c r="F21" s="37">
        <v>200</v>
      </c>
      <c r="G21" s="38">
        <v>220</v>
      </c>
      <c r="H21" s="38"/>
      <c r="I21" s="38"/>
      <c r="J21" s="38">
        <v>110</v>
      </c>
      <c r="K21" s="38">
        <f>170</f>
        <v>170</v>
      </c>
      <c r="L21" s="38"/>
      <c r="M21" s="38">
        <f>270+120</f>
        <v>390</v>
      </c>
      <c r="N21" s="38">
        <v>310</v>
      </c>
      <c r="O21" s="38">
        <f>300+250</f>
        <v>550</v>
      </c>
      <c r="P21" s="38">
        <v>120</v>
      </c>
      <c r="Q21" s="38">
        <v>120</v>
      </c>
      <c r="R21" s="38"/>
      <c r="S21" s="38">
        <v>90</v>
      </c>
      <c r="T21" s="38">
        <v>40</v>
      </c>
      <c r="U21" s="38"/>
      <c r="V21" s="38"/>
      <c r="W21" s="38">
        <v>340</v>
      </c>
      <c r="X21" s="38">
        <v>80</v>
      </c>
      <c r="Y21" s="38">
        <v>80</v>
      </c>
      <c r="Z21" s="38">
        <v>200</v>
      </c>
      <c r="AA21" s="38">
        <f>140+80</f>
        <v>220</v>
      </c>
      <c r="AB21" s="38">
        <v>310</v>
      </c>
      <c r="AC21" s="38"/>
      <c r="AD21" s="38">
        <v>150</v>
      </c>
      <c r="AE21" s="38">
        <f>40</f>
        <v>40</v>
      </c>
      <c r="AF21" s="38"/>
      <c r="AG21" s="38"/>
      <c r="AH21" s="38"/>
      <c r="AI21" s="38"/>
      <c r="AJ21" s="38"/>
      <c r="AK21" s="105"/>
      <c r="AL21" s="107"/>
      <c r="AM21" s="109"/>
    </row>
    <row r="22" spans="2:41" ht="32.25" thickBot="1" x14ac:dyDescent="0.3">
      <c r="B22" s="101" t="s">
        <v>24</v>
      </c>
      <c r="C22" s="39" t="s">
        <v>25</v>
      </c>
      <c r="D22" s="88" t="s">
        <v>22</v>
      </c>
      <c r="E22" s="40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>
        <f>AK18+AK20</f>
        <v>5470</v>
      </c>
      <c r="AL22" s="42">
        <f>AL18+AL20</f>
        <v>0</v>
      </c>
      <c r="AM22" s="90" t="e">
        <f t="shared" ref="AM22:AM23" si="4">AK22/AL22*100</f>
        <v>#DIV/0!</v>
      </c>
    </row>
    <row r="23" spans="2:41" ht="32.25" thickBot="1" x14ac:dyDescent="0.3">
      <c r="B23" s="101"/>
      <c r="C23" s="39" t="s">
        <v>26</v>
      </c>
      <c r="D23" s="88" t="s">
        <v>22</v>
      </c>
      <c r="E23" s="43">
        <f>E19+E21</f>
        <v>12420</v>
      </c>
      <c r="F23" s="44">
        <f>+F21+F19</f>
        <v>430</v>
      </c>
      <c r="G23" s="45">
        <f>+G21+G19</f>
        <v>490</v>
      </c>
      <c r="H23" s="45">
        <f t="shared" ref="H23:AJ23" si="5">+H21+H19</f>
        <v>120</v>
      </c>
      <c r="I23" s="45">
        <f t="shared" si="5"/>
        <v>90</v>
      </c>
      <c r="J23" s="45">
        <f t="shared" si="5"/>
        <v>230</v>
      </c>
      <c r="K23" s="45">
        <f t="shared" si="5"/>
        <v>240</v>
      </c>
      <c r="L23" s="45">
        <f t="shared" si="5"/>
        <v>0</v>
      </c>
      <c r="M23" s="45">
        <f t="shared" si="5"/>
        <v>390</v>
      </c>
      <c r="N23" s="45">
        <f t="shared" si="5"/>
        <v>390</v>
      </c>
      <c r="O23" s="45">
        <f t="shared" si="5"/>
        <v>600</v>
      </c>
      <c r="P23" s="45">
        <f t="shared" si="5"/>
        <v>160</v>
      </c>
      <c r="Q23" s="45">
        <f t="shared" si="5"/>
        <v>120</v>
      </c>
      <c r="R23" s="45">
        <f t="shared" si="5"/>
        <v>70</v>
      </c>
      <c r="S23" s="45">
        <f t="shared" si="5"/>
        <v>170</v>
      </c>
      <c r="T23" s="45">
        <f t="shared" si="5"/>
        <v>200</v>
      </c>
      <c r="U23" s="45">
        <f t="shared" si="5"/>
        <v>0</v>
      </c>
      <c r="V23" s="45">
        <f t="shared" si="5"/>
        <v>0</v>
      </c>
      <c r="W23" s="45">
        <f t="shared" si="5"/>
        <v>360</v>
      </c>
      <c r="X23" s="45">
        <f t="shared" si="5"/>
        <v>140</v>
      </c>
      <c r="Y23" s="45">
        <f t="shared" si="5"/>
        <v>80</v>
      </c>
      <c r="Z23" s="45">
        <f t="shared" si="5"/>
        <v>200</v>
      </c>
      <c r="AA23" s="45">
        <f t="shared" si="5"/>
        <v>220</v>
      </c>
      <c r="AB23" s="45">
        <f t="shared" si="5"/>
        <v>310</v>
      </c>
      <c r="AC23" s="45">
        <f t="shared" si="5"/>
        <v>270</v>
      </c>
      <c r="AD23" s="45">
        <f t="shared" si="5"/>
        <v>150</v>
      </c>
      <c r="AE23" s="45">
        <f t="shared" si="5"/>
        <v>40</v>
      </c>
      <c r="AF23" s="45">
        <f t="shared" si="5"/>
        <v>0</v>
      </c>
      <c r="AG23" s="45">
        <f t="shared" si="5"/>
        <v>0</v>
      </c>
      <c r="AH23" s="45">
        <f t="shared" si="5"/>
        <v>0</v>
      </c>
      <c r="AI23" s="45">
        <f t="shared" si="5"/>
        <v>0</v>
      </c>
      <c r="AJ23" s="45">
        <f t="shared" si="5"/>
        <v>0</v>
      </c>
      <c r="AK23" s="46">
        <f>SUM(F23:AJ23)</f>
        <v>5470</v>
      </c>
      <c r="AL23" s="47">
        <f>AL22</f>
        <v>0</v>
      </c>
      <c r="AM23" s="48" t="e">
        <f t="shared" si="4"/>
        <v>#DIV/0!</v>
      </c>
    </row>
    <row r="24" spans="2:41" ht="16.5" thickBot="1" x14ac:dyDescent="0.3">
      <c r="B24" s="50" t="s">
        <v>18</v>
      </c>
      <c r="C24" s="51" t="s">
        <v>27</v>
      </c>
      <c r="D24" s="52" t="s">
        <v>22</v>
      </c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5"/>
      <c r="AL24" s="56"/>
      <c r="AM24" s="57"/>
    </row>
    <row r="25" spans="2:41" ht="29.25" customHeight="1" thickBot="1" x14ac:dyDescent="0.3">
      <c r="B25" s="110" t="s">
        <v>34</v>
      </c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2"/>
    </row>
    <row r="26" spans="2:41" ht="15.75" x14ac:dyDescent="0.25">
      <c r="B26" s="115" t="s">
        <v>20</v>
      </c>
      <c r="C26" s="116"/>
      <c r="D26" s="22"/>
      <c r="E26" s="23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5"/>
      <c r="AL26" s="26"/>
      <c r="AM26" s="27"/>
    </row>
    <row r="27" spans="2:41" ht="15.75" x14ac:dyDescent="0.25">
      <c r="B27" s="102" t="s">
        <v>21</v>
      </c>
      <c r="C27" s="28" t="s">
        <v>17</v>
      </c>
      <c r="D27" s="103" t="s">
        <v>22</v>
      </c>
      <c r="E27" s="3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104">
        <f>SUM(F28:AJ28)</f>
        <v>3730</v>
      </c>
      <c r="AL27" s="106">
        <f>SUM(F27:AJ27)</f>
        <v>0</v>
      </c>
      <c r="AM27" s="108" t="e">
        <f>AK27/AL27*100</f>
        <v>#DIV/0!</v>
      </c>
      <c r="AO27" s="60"/>
    </row>
    <row r="28" spans="2:41" ht="18.75" x14ac:dyDescent="0.25">
      <c r="B28" s="102"/>
      <c r="C28" s="28" t="s">
        <v>16</v>
      </c>
      <c r="D28" s="103"/>
      <c r="E28" s="34">
        <f>2980+AK27</f>
        <v>6710</v>
      </c>
      <c r="F28" s="35"/>
      <c r="G28" s="36"/>
      <c r="H28" s="36"/>
      <c r="I28" s="36">
        <v>420</v>
      </c>
      <c r="J28" s="38">
        <v>100</v>
      </c>
      <c r="K28" s="36">
        <v>60</v>
      </c>
      <c r="L28" s="36">
        <v>250</v>
      </c>
      <c r="M28" s="36">
        <v>150</v>
      </c>
      <c r="N28" s="36"/>
      <c r="O28" s="36"/>
      <c r="P28" s="36">
        <v>140</v>
      </c>
      <c r="Q28" s="36">
        <v>290</v>
      </c>
      <c r="R28" s="36"/>
      <c r="S28" s="36"/>
      <c r="T28" s="36"/>
      <c r="U28" s="36"/>
      <c r="V28" s="36">
        <f>280+50</f>
        <v>330</v>
      </c>
      <c r="W28" s="36">
        <f>340+40</f>
        <v>380</v>
      </c>
      <c r="X28" s="36"/>
      <c r="Y28" s="36"/>
      <c r="Z28" s="36"/>
      <c r="AA28" s="36">
        <v>80</v>
      </c>
      <c r="AB28" s="36"/>
      <c r="AC28" s="36">
        <v>80</v>
      </c>
      <c r="AD28" s="36">
        <f>360+440</f>
        <v>800</v>
      </c>
      <c r="AE28" s="36">
        <f>480</f>
        <v>480</v>
      </c>
      <c r="AF28" s="36"/>
      <c r="AG28" s="36">
        <v>170</v>
      </c>
      <c r="AH28" s="36"/>
      <c r="AI28" s="36"/>
      <c r="AJ28" s="36"/>
      <c r="AK28" s="105"/>
      <c r="AL28" s="107"/>
      <c r="AM28" s="109"/>
    </row>
    <row r="29" spans="2:41" ht="15.75" x14ac:dyDescent="0.25">
      <c r="B29" s="102" t="s">
        <v>23</v>
      </c>
      <c r="C29" s="28" t="s">
        <v>17</v>
      </c>
      <c r="D29" s="103" t="s">
        <v>22</v>
      </c>
      <c r="E29" s="3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104">
        <f>SUM(F30:AJ30)</f>
        <v>5086</v>
      </c>
      <c r="AL29" s="106">
        <f>SUM(F29:AJ29)</f>
        <v>0</v>
      </c>
      <c r="AM29" s="108" t="e">
        <f>AK29/AL29*100</f>
        <v>#DIV/0!</v>
      </c>
      <c r="AO29" s="60"/>
    </row>
    <row r="30" spans="2:41" ht="18.75" x14ac:dyDescent="0.25">
      <c r="B30" s="102"/>
      <c r="C30" s="28" t="s">
        <v>16</v>
      </c>
      <c r="D30" s="103"/>
      <c r="E30" s="34">
        <f>3650+AK29</f>
        <v>8736</v>
      </c>
      <c r="F30" s="37"/>
      <c r="G30" s="38"/>
      <c r="H30" s="38">
        <v>570</v>
      </c>
      <c r="I30" s="38">
        <v>550</v>
      </c>
      <c r="J30" s="38">
        <v>480</v>
      </c>
      <c r="K30" s="38">
        <f>600</f>
        <v>600</v>
      </c>
      <c r="L30" s="38">
        <v>350</v>
      </c>
      <c r="M30" s="38"/>
      <c r="N30" s="38"/>
      <c r="O30" s="38"/>
      <c r="P30" s="38">
        <v>726</v>
      </c>
      <c r="Q30" s="38"/>
      <c r="R30" s="38"/>
      <c r="S30" s="38"/>
      <c r="T30" s="38"/>
      <c r="U30" s="38">
        <f>400+40+60</f>
        <v>500</v>
      </c>
      <c r="V30" s="38">
        <f>120+360</f>
        <v>480</v>
      </c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>
        <f>300</f>
        <v>300</v>
      </c>
      <c r="AH30" s="38">
        <v>350</v>
      </c>
      <c r="AI30" s="38"/>
      <c r="AJ30" s="38">
        <v>180</v>
      </c>
      <c r="AK30" s="105"/>
      <c r="AL30" s="107"/>
      <c r="AM30" s="109"/>
    </row>
    <row r="31" spans="2:41" ht="32.25" thickBot="1" x14ac:dyDescent="0.3">
      <c r="B31" s="101" t="s">
        <v>24</v>
      </c>
      <c r="C31" s="39" t="s">
        <v>25</v>
      </c>
      <c r="D31" s="88" t="s">
        <v>22</v>
      </c>
      <c r="E31" s="40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>
        <f>AK27+AK29</f>
        <v>8816</v>
      </c>
      <c r="AL31" s="42">
        <f>AL27+AL29</f>
        <v>0</v>
      </c>
      <c r="AM31" s="90" t="e">
        <f>AK31/AL31*100</f>
        <v>#DIV/0!</v>
      </c>
    </row>
    <row r="32" spans="2:41" ht="32.25" thickBot="1" x14ac:dyDescent="0.3">
      <c r="B32" s="101"/>
      <c r="C32" s="39" t="s">
        <v>26</v>
      </c>
      <c r="D32" s="88" t="s">
        <v>22</v>
      </c>
      <c r="E32" s="43">
        <f>+E30+E28</f>
        <v>15446</v>
      </c>
      <c r="F32" s="44">
        <f t="shared" ref="F32:AJ32" si="6">+F30+F28</f>
        <v>0</v>
      </c>
      <c r="G32" s="45">
        <f t="shared" si="6"/>
        <v>0</v>
      </c>
      <c r="H32" s="45">
        <f t="shared" si="6"/>
        <v>570</v>
      </c>
      <c r="I32" s="45">
        <f t="shared" si="6"/>
        <v>970</v>
      </c>
      <c r="J32" s="45">
        <f t="shared" si="6"/>
        <v>580</v>
      </c>
      <c r="K32" s="45">
        <f t="shared" si="6"/>
        <v>660</v>
      </c>
      <c r="L32" s="45">
        <f t="shared" si="6"/>
        <v>600</v>
      </c>
      <c r="M32" s="45">
        <f t="shared" si="6"/>
        <v>150</v>
      </c>
      <c r="N32" s="45">
        <f t="shared" si="6"/>
        <v>0</v>
      </c>
      <c r="O32" s="45">
        <f t="shared" si="6"/>
        <v>0</v>
      </c>
      <c r="P32" s="45">
        <f t="shared" si="6"/>
        <v>866</v>
      </c>
      <c r="Q32" s="45">
        <f t="shared" si="6"/>
        <v>290</v>
      </c>
      <c r="R32" s="45">
        <f t="shared" si="6"/>
        <v>0</v>
      </c>
      <c r="S32" s="45">
        <f t="shared" si="6"/>
        <v>0</v>
      </c>
      <c r="T32" s="45">
        <f t="shared" si="6"/>
        <v>0</v>
      </c>
      <c r="U32" s="45">
        <f t="shared" si="6"/>
        <v>500</v>
      </c>
      <c r="V32" s="45">
        <f t="shared" si="6"/>
        <v>810</v>
      </c>
      <c r="W32" s="45">
        <f t="shared" si="6"/>
        <v>380</v>
      </c>
      <c r="X32" s="45">
        <f t="shared" si="6"/>
        <v>0</v>
      </c>
      <c r="Y32" s="45">
        <f t="shared" si="6"/>
        <v>0</v>
      </c>
      <c r="Z32" s="45">
        <f t="shared" si="6"/>
        <v>0</v>
      </c>
      <c r="AA32" s="45">
        <f t="shared" si="6"/>
        <v>80</v>
      </c>
      <c r="AB32" s="45">
        <f t="shared" si="6"/>
        <v>0</v>
      </c>
      <c r="AC32" s="45">
        <f t="shared" si="6"/>
        <v>80</v>
      </c>
      <c r="AD32" s="45">
        <f t="shared" si="6"/>
        <v>800</v>
      </c>
      <c r="AE32" s="45">
        <f t="shared" si="6"/>
        <v>480</v>
      </c>
      <c r="AF32" s="45">
        <f t="shared" si="6"/>
        <v>0</v>
      </c>
      <c r="AG32" s="45">
        <f t="shared" si="6"/>
        <v>470</v>
      </c>
      <c r="AH32" s="45">
        <f t="shared" si="6"/>
        <v>350</v>
      </c>
      <c r="AI32" s="45">
        <f t="shared" si="6"/>
        <v>0</v>
      </c>
      <c r="AJ32" s="45">
        <f t="shared" si="6"/>
        <v>180</v>
      </c>
      <c r="AK32" s="46">
        <f>SUM(F32:AJ32)</f>
        <v>8816</v>
      </c>
      <c r="AL32" s="47">
        <f>AL31</f>
        <v>0</v>
      </c>
      <c r="AM32" s="48" t="e">
        <f>AK32/AL32*100</f>
        <v>#DIV/0!</v>
      </c>
    </row>
    <row r="33" spans="2:41" ht="16.5" thickBot="1" x14ac:dyDescent="0.3">
      <c r="B33" s="50" t="s">
        <v>18</v>
      </c>
      <c r="C33" s="51" t="s">
        <v>27</v>
      </c>
      <c r="D33" s="52" t="s">
        <v>22</v>
      </c>
      <c r="E33" s="53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5"/>
      <c r="AL33" s="56"/>
      <c r="AM33" s="57"/>
    </row>
    <row r="34" spans="2:41" ht="29.25" customHeight="1" thickBot="1" x14ac:dyDescent="0.3">
      <c r="B34" s="110" t="s">
        <v>93</v>
      </c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2"/>
    </row>
    <row r="35" spans="2:41" ht="15.75" x14ac:dyDescent="0.25">
      <c r="B35" s="115" t="s">
        <v>20</v>
      </c>
      <c r="C35" s="116"/>
      <c r="D35" s="22"/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5"/>
      <c r="AL35" s="26"/>
      <c r="AM35" s="27"/>
    </row>
    <row r="36" spans="2:41" ht="15.75" x14ac:dyDescent="0.25">
      <c r="B36" s="102" t="s">
        <v>21</v>
      </c>
      <c r="C36" s="28" t="s">
        <v>17</v>
      </c>
      <c r="D36" s="103" t="s">
        <v>94</v>
      </c>
      <c r="E36" s="30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104">
        <f>SUM(F37:AJ37)</f>
        <v>444.40999999999997</v>
      </c>
      <c r="AL36" s="106">
        <f>SUM(F36:AJ36)</f>
        <v>0</v>
      </c>
      <c r="AM36" s="108" t="e">
        <f>AK36/AL36*100</f>
        <v>#DIV/0!</v>
      </c>
      <c r="AO36" s="60"/>
    </row>
    <row r="37" spans="2:41" ht="18.75" x14ac:dyDescent="0.25">
      <c r="B37" s="102"/>
      <c r="C37" s="28" t="s">
        <v>16</v>
      </c>
      <c r="D37" s="103"/>
      <c r="E37" s="34">
        <f>AK36</f>
        <v>444.40999999999997</v>
      </c>
      <c r="F37" s="35"/>
      <c r="G37" s="36"/>
      <c r="H37" s="36"/>
      <c r="I37" s="36"/>
      <c r="J37" s="38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>
        <v>221.97</v>
      </c>
      <c r="AI37" s="36">
        <v>222.44</v>
      </c>
      <c r="AJ37" s="36"/>
      <c r="AK37" s="105"/>
      <c r="AL37" s="107"/>
      <c r="AM37" s="109"/>
    </row>
    <row r="38" spans="2:41" ht="15.75" x14ac:dyDescent="0.25">
      <c r="B38" s="102" t="s">
        <v>23</v>
      </c>
      <c r="C38" s="28" t="s">
        <v>17</v>
      </c>
      <c r="D38" s="103" t="s">
        <v>94</v>
      </c>
      <c r="E38" s="30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104">
        <f>SUM(F39:AJ39)</f>
        <v>0</v>
      </c>
      <c r="AL38" s="106">
        <f>SUM(F38:AJ38)</f>
        <v>0</v>
      </c>
      <c r="AM38" s="108" t="e">
        <f>AK38/AL38*100</f>
        <v>#DIV/0!</v>
      </c>
      <c r="AO38" s="60"/>
    </row>
    <row r="39" spans="2:41" ht="18.75" x14ac:dyDescent="0.25">
      <c r="B39" s="102"/>
      <c r="C39" s="28" t="s">
        <v>16</v>
      </c>
      <c r="D39" s="103"/>
      <c r="E39" s="34">
        <f>AK38</f>
        <v>0</v>
      </c>
      <c r="F39" s="37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105"/>
      <c r="AL39" s="107"/>
      <c r="AM39" s="109"/>
    </row>
    <row r="40" spans="2:41" ht="32.25" thickBot="1" x14ac:dyDescent="0.3">
      <c r="B40" s="101" t="s">
        <v>24</v>
      </c>
      <c r="C40" s="39" t="s">
        <v>25</v>
      </c>
      <c r="D40" s="92" t="s">
        <v>94</v>
      </c>
      <c r="E40" s="40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>
        <f>AK36+AK38</f>
        <v>444.40999999999997</v>
      </c>
      <c r="AL40" s="42">
        <f>AL36+AL38</f>
        <v>0</v>
      </c>
      <c r="AM40" s="94" t="e">
        <f>AK40/AL40*100</f>
        <v>#DIV/0!</v>
      </c>
    </row>
    <row r="41" spans="2:41" ht="32.25" thickBot="1" x14ac:dyDescent="0.3">
      <c r="B41" s="101"/>
      <c r="C41" s="39" t="s">
        <v>26</v>
      </c>
      <c r="D41" s="92" t="s">
        <v>94</v>
      </c>
      <c r="E41" s="43">
        <f>E39+E37</f>
        <v>444.40999999999997</v>
      </c>
      <c r="F41" s="44">
        <f t="shared" ref="F41:AJ41" si="7">+F39+F37</f>
        <v>0</v>
      </c>
      <c r="G41" s="45">
        <f t="shared" si="7"/>
        <v>0</v>
      </c>
      <c r="H41" s="45">
        <f t="shared" si="7"/>
        <v>0</v>
      </c>
      <c r="I41" s="45">
        <f t="shared" si="7"/>
        <v>0</v>
      </c>
      <c r="J41" s="45">
        <f t="shared" si="7"/>
        <v>0</v>
      </c>
      <c r="K41" s="45">
        <f t="shared" si="7"/>
        <v>0</v>
      </c>
      <c r="L41" s="45">
        <f t="shared" si="7"/>
        <v>0</v>
      </c>
      <c r="M41" s="45">
        <f t="shared" si="7"/>
        <v>0</v>
      </c>
      <c r="N41" s="45">
        <f t="shared" si="7"/>
        <v>0</v>
      </c>
      <c r="O41" s="45">
        <f t="shared" si="7"/>
        <v>0</v>
      </c>
      <c r="P41" s="45">
        <f t="shared" si="7"/>
        <v>0</v>
      </c>
      <c r="Q41" s="45">
        <f t="shared" si="7"/>
        <v>0</v>
      </c>
      <c r="R41" s="45">
        <f t="shared" si="7"/>
        <v>0</v>
      </c>
      <c r="S41" s="45">
        <f t="shared" si="7"/>
        <v>0</v>
      </c>
      <c r="T41" s="45">
        <f t="shared" si="7"/>
        <v>0</v>
      </c>
      <c r="U41" s="45">
        <f t="shared" si="7"/>
        <v>0</v>
      </c>
      <c r="V41" s="45">
        <f t="shared" si="7"/>
        <v>0</v>
      </c>
      <c r="W41" s="45">
        <f t="shared" si="7"/>
        <v>0</v>
      </c>
      <c r="X41" s="45">
        <f t="shared" si="7"/>
        <v>0</v>
      </c>
      <c r="Y41" s="45">
        <f t="shared" si="7"/>
        <v>0</v>
      </c>
      <c r="Z41" s="45">
        <f t="shared" si="7"/>
        <v>0</v>
      </c>
      <c r="AA41" s="45">
        <f t="shared" si="7"/>
        <v>0</v>
      </c>
      <c r="AB41" s="45">
        <f t="shared" si="7"/>
        <v>0</v>
      </c>
      <c r="AC41" s="45">
        <f t="shared" si="7"/>
        <v>0</v>
      </c>
      <c r="AD41" s="45">
        <f t="shared" si="7"/>
        <v>0</v>
      </c>
      <c r="AE41" s="45">
        <f t="shared" si="7"/>
        <v>0</v>
      </c>
      <c r="AF41" s="45">
        <f t="shared" si="7"/>
        <v>0</v>
      </c>
      <c r="AG41" s="45">
        <f t="shared" si="7"/>
        <v>0</v>
      </c>
      <c r="AH41" s="45">
        <f t="shared" si="7"/>
        <v>221.97</v>
      </c>
      <c r="AI41" s="45">
        <f t="shared" si="7"/>
        <v>222.44</v>
      </c>
      <c r="AJ41" s="45">
        <f t="shared" si="7"/>
        <v>0</v>
      </c>
      <c r="AK41" s="46">
        <f>SUM(F41:AJ41)</f>
        <v>444.40999999999997</v>
      </c>
      <c r="AL41" s="47">
        <f>AL40</f>
        <v>0</v>
      </c>
      <c r="AM41" s="48" t="e">
        <f>AK41/AL41*100</f>
        <v>#DIV/0!</v>
      </c>
    </row>
    <row r="42" spans="2:41" ht="16.5" thickBot="1" x14ac:dyDescent="0.3">
      <c r="B42" s="50" t="s">
        <v>18</v>
      </c>
      <c r="C42" s="51" t="s">
        <v>27</v>
      </c>
      <c r="D42" s="52" t="s">
        <v>94</v>
      </c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5"/>
      <c r="AL42" s="56"/>
      <c r="AM42" s="57"/>
    </row>
    <row r="43" spans="2:41" ht="32.25" customHeight="1" thickBot="1" x14ac:dyDescent="0.3">
      <c r="B43" s="110" t="s">
        <v>28</v>
      </c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2"/>
    </row>
    <row r="44" spans="2:41" ht="15.75" x14ac:dyDescent="0.25">
      <c r="B44" s="115" t="s">
        <v>20</v>
      </c>
      <c r="C44" s="116"/>
      <c r="D44" s="22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5"/>
      <c r="AL44" s="26"/>
      <c r="AM44" s="27"/>
    </row>
    <row r="45" spans="2:41" ht="15.75" x14ac:dyDescent="0.25">
      <c r="B45" s="102" t="s">
        <v>21</v>
      </c>
      <c r="C45" s="28" t="s">
        <v>17</v>
      </c>
      <c r="D45" s="103" t="s">
        <v>22</v>
      </c>
      <c r="E45" s="30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104">
        <f>SUM(F46:AJ46)</f>
        <v>0</v>
      </c>
      <c r="AL45" s="106">
        <f>SUM(F45:AJ45)</f>
        <v>0</v>
      </c>
      <c r="AM45" s="108" t="e">
        <f t="shared" si="0"/>
        <v>#DIV/0!</v>
      </c>
      <c r="AO45" s="60"/>
    </row>
    <row r="46" spans="2:41" ht="18.75" x14ac:dyDescent="0.25">
      <c r="B46" s="102"/>
      <c r="C46" s="28" t="s">
        <v>16</v>
      </c>
      <c r="D46" s="103"/>
      <c r="E46" s="34">
        <f>9496+AK45</f>
        <v>9496</v>
      </c>
      <c r="F46" s="3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105"/>
      <c r="AL46" s="107"/>
      <c r="AM46" s="109"/>
    </row>
    <row r="47" spans="2:41" ht="15.75" x14ac:dyDescent="0.25">
      <c r="B47" s="102" t="s">
        <v>23</v>
      </c>
      <c r="C47" s="28" t="s">
        <v>17</v>
      </c>
      <c r="D47" s="103" t="s">
        <v>22</v>
      </c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104">
        <f>SUM(F48:AJ48)</f>
        <v>0</v>
      </c>
      <c r="AL47" s="106">
        <f>SUM(F47:AJ47)</f>
        <v>0</v>
      </c>
      <c r="AM47" s="108" t="e">
        <f t="shared" si="0"/>
        <v>#DIV/0!</v>
      </c>
      <c r="AO47" s="60"/>
    </row>
    <row r="48" spans="2:41" ht="18.75" x14ac:dyDescent="0.25">
      <c r="B48" s="102"/>
      <c r="C48" s="28" t="s">
        <v>16</v>
      </c>
      <c r="D48" s="103"/>
      <c r="E48" s="34">
        <f>4018+AK47</f>
        <v>4018</v>
      </c>
      <c r="F48" s="37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6"/>
      <c r="AB48" s="38"/>
      <c r="AC48" s="38"/>
      <c r="AD48" s="38"/>
      <c r="AE48" s="38"/>
      <c r="AF48" s="38"/>
      <c r="AG48" s="38"/>
      <c r="AH48" s="38"/>
      <c r="AI48" s="38"/>
      <c r="AJ48" s="38"/>
      <c r="AK48" s="105"/>
      <c r="AL48" s="107"/>
      <c r="AM48" s="109"/>
    </row>
    <row r="49" spans="2:41" ht="32.25" thickBot="1" x14ac:dyDescent="0.3">
      <c r="B49" s="101" t="s">
        <v>24</v>
      </c>
      <c r="C49" s="39" t="s">
        <v>25</v>
      </c>
      <c r="D49" s="88" t="s">
        <v>22</v>
      </c>
      <c r="E49" s="40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>
        <f>AK45+AK47</f>
        <v>0</v>
      </c>
      <c r="AL49" s="42">
        <f>AL45+AL47</f>
        <v>0</v>
      </c>
      <c r="AM49" s="90" t="e">
        <f t="shared" si="0"/>
        <v>#DIV/0!</v>
      </c>
    </row>
    <row r="50" spans="2:41" ht="32.25" thickBot="1" x14ac:dyDescent="0.3">
      <c r="B50" s="101"/>
      <c r="C50" s="39" t="s">
        <v>26</v>
      </c>
      <c r="D50" s="88" t="s">
        <v>22</v>
      </c>
      <c r="E50" s="43">
        <f>E46+E48</f>
        <v>13514</v>
      </c>
      <c r="F50" s="44">
        <f>+F48+F46</f>
        <v>0</v>
      </c>
      <c r="G50" s="45">
        <f>+G48+G46</f>
        <v>0</v>
      </c>
      <c r="H50" s="45">
        <f t="shared" si="1"/>
        <v>0</v>
      </c>
      <c r="I50" s="45">
        <f t="shared" si="1"/>
        <v>0</v>
      </c>
      <c r="J50" s="45">
        <f t="shared" si="1"/>
        <v>0</v>
      </c>
      <c r="K50" s="45">
        <f t="shared" si="1"/>
        <v>0</v>
      </c>
      <c r="L50" s="45">
        <f t="shared" si="1"/>
        <v>0</v>
      </c>
      <c r="M50" s="45">
        <f t="shared" si="1"/>
        <v>0</v>
      </c>
      <c r="N50" s="45">
        <f t="shared" si="1"/>
        <v>0</v>
      </c>
      <c r="O50" s="45">
        <f t="shared" si="1"/>
        <v>0</v>
      </c>
      <c r="P50" s="45">
        <f t="shared" si="1"/>
        <v>0</v>
      </c>
      <c r="Q50" s="45">
        <f t="shared" si="1"/>
        <v>0</v>
      </c>
      <c r="R50" s="45">
        <f t="shared" si="1"/>
        <v>0</v>
      </c>
      <c r="S50" s="45">
        <f t="shared" si="1"/>
        <v>0</v>
      </c>
      <c r="T50" s="45">
        <f t="shared" si="1"/>
        <v>0</v>
      </c>
      <c r="U50" s="45">
        <f t="shared" si="1"/>
        <v>0</v>
      </c>
      <c r="V50" s="45">
        <f t="shared" si="1"/>
        <v>0</v>
      </c>
      <c r="W50" s="45">
        <f t="shared" si="1"/>
        <v>0</v>
      </c>
      <c r="X50" s="45">
        <f t="shared" si="1"/>
        <v>0</v>
      </c>
      <c r="Y50" s="45">
        <f t="shared" si="1"/>
        <v>0</v>
      </c>
      <c r="Z50" s="45">
        <f t="shared" si="1"/>
        <v>0</v>
      </c>
      <c r="AA50" s="45">
        <f t="shared" si="1"/>
        <v>0</v>
      </c>
      <c r="AB50" s="45">
        <f t="shared" si="1"/>
        <v>0</v>
      </c>
      <c r="AC50" s="45">
        <f t="shared" si="1"/>
        <v>0</v>
      </c>
      <c r="AD50" s="45">
        <f t="shared" si="1"/>
        <v>0</v>
      </c>
      <c r="AE50" s="45">
        <f t="shared" si="1"/>
        <v>0</v>
      </c>
      <c r="AF50" s="45">
        <f t="shared" si="1"/>
        <v>0</v>
      </c>
      <c r="AG50" s="45">
        <f t="shared" si="1"/>
        <v>0</v>
      </c>
      <c r="AH50" s="45">
        <f t="shared" si="1"/>
        <v>0</v>
      </c>
      <c r="AI50" s="45">
        <f t="shared" si="1"/>
        <v>0</v>
      </c>
      <c r="AJ50" s="45">
        <f t="shared" si="1"/>
        <v>0</v>
      </c>
      <c r="AK50" s="46">
        <f>SUM(F50:AJ50)</f>
        <v>0</v>
      </c>
      <c r="AL50" s="47">
        <f>AL49</f>
        <v>0</v>
      </c>
      <c r="AM50" s="48" t="e">
        <f t="shared" si="0"/>
        <v>#DIV/0!</v>
      </c>
    </row>
    <row r="51" spans="2:41" ht="16.5" thickBot="1" x14ac:dyDescent="0.3">
      <c r="B51" s="50" t="s">
        <v>18</v>
      </c>
      <c r="C51" s="51" t="s">
        <v>27</v>
      </c>
      <c r="D51" s="52" t="s">
        <v>22</v>
      </c>
      <c r="E51" s="53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5"/>
      <c r="AL51" s="56"/>
      <c r="AM51" s="57"/>
    </row>
    <row r="52" spans="2:41" ht="32.25" customHeight="1" thickBot="1" x14ac:dyDescent="0.3">
      <c r="B52" s="110" t="s">
        <v>88</v>
      </c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2"/>
    </row>
    <row r="53" spans="2:41" ht="15.75" x14ac:dyDescent="0.25">
      <c r="B53" s="115" t="s">
        <v>20</v>
      </c>
      <c r="C53" s="116"/>
      <c r="D53" s="22"/>
      <c r="E53" s="23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5"/>
      <c r="AL53" s="26"/>
      <c r="AM53" s="27"/>
    </row>
    <row r="54" spans="2:41" ht="15.75" x14ac:dyDescent="0.25">
      <c r="B54" s="102" t="s">
        <v>21</v>
      </c>
      <c r="C54" s="28" t="s">
        <v>17</v>
      </c>
      <c r="D54" s="103" t="s">
        <v>22</v>
      </c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104">
        <f>SUM(F55:AJ55)</f>
        <v>48</v>
      </c>
      <c r="AL54" s="106">
        <f>SUM(F54:AJ54)</f>
        <v>0</v>
      </c>
      <c r="AM54" s="108" t="e">
        <f t="shared" ref="AM54" si="8">AK54/AL54*100</f>
        <v>#DIV/0!</v>
      </c>
      <c r="AO54" s="60"/>
    </row>
    <row r="55" spans="2:41" ht="18.75" x14ac:dyDescent="0.25">
      <c r="B55" s="102"/>
      <c r="C55" s="28" t="s">
        <v>16</v>
      </c>
      <c r="D55" s="103"/>
      <c r="E55" s="34">
        <f>381+AK54</f>
        <v>429</v>
      </c>
      <c r="F55" s="35"/>
      <c r="G55" s="36"/>
      <c r="H55" s="36"/>
      <c r="I55" s="36"/>
      <c r="J55" s="36"/>
      <c r="K55" s="36"/>
      <c r="L55" s="36"/>
      <c r="M55" s="36">
        <v>48</v>
      </c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105"/>
      <c r="AL55" s="107"/>
      <c r="AM55" s="109"/>
    </row>
    <row r="56" spans="2:41" ht="15.75" x14ac:dyDescent="0.25">
      <c r="B56" s="102" t="s">
        <v>23</v>
      </c>
      <c r="C56" s="28" t="s">
        <v>17</v>
      </c>
      <c r="D56" s="103" t="s">
        <v>22</v>
      </c>
      <c r="E56" s="30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104">
        <f>SUM(F57:AJ57)</f>
        <v>72</v>
      </c>
      <c r="AL56" s="106">
        <f>SUM(F56:AJ56)</f>
        <v>0</v>
      </c>
      <c r="AM56" s="108" t="e">
        <f t="shared" ref="AM56" si="9">AK56/AL56*100</f>
        <v>#DIV/0!</v>
      </c>
      <c r="AO56" s="60"/>
    </row>
    <row r="57" spans="2:41" ht="18.75" x14ac:dyDescent="0.25">
      <c r="B57" s="102"/>
      <c r="C57" s="28" t="s">
        <v>16</v>
      </c>
      <c r="D57" s="103"/>
      <c r="E57" s="34">
        <f>528+AK56</f>
        <v>600</v>
      </c>
      <c r="F57" s="37"/>
      <c r="G57" s="38"/>
      <c r="H57" s="38"/>
      <c r="I57" s="38"/>
      <c r="J57" s="38"/>
      <c r="K57" s="38"/>
      <c r="L57" s="38">
        <v>72</v>
      </c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105"/>
      <c r="AL57" s="107"/>
      <c r="AM57" s="109"/>
    </row>
    <row r="58" spans="2:41" ht="32.25" thickBot="1" x14ac:dyDescent="0.3">
      <c r="B58" s="101" t="s">
        <v>24</v>
      </c>
      <c r="C58" s="39" t="s">
        <v>25</v>
      </c>
      <c r="D58" s="88" t="s">
        <v>22</v>
      </c>
      <c r="E58" s="40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>
        <f>AK54+AK56</f>
        <v>120</v>
      </c>
      <c r="AL58" s="42">
        <f>AL54+AL56</f>
        <v>0</v>
      </c>
      <c r="AM58" s="90" t="e">
        <f t="shared" ref="AM58:AM59" si="10">AK58/AL58*100</f>
        <v>#DIV/0!</v>
      </c>
    </row>
    <row r="59" spans="2:41" ht="32.25" thickBot="1" x14ac:dyDescent="0.3">
      <c r="B59" s="101"/>
      <c r="C59" s="39" t="s">
        <v>26</v>
      </c>
      <c r="D59" s="88" t="s">
        <v>22</v>
      </c>
      <c r="E59" s="43">
        <f>E55+E57</f>
        <v>1029</v>
      </c>
      <c r="F59" s="44">
        <f>+F57+F55</f>
        <v>0</v>
      </c>
      <c r="G59" s="45">
        <f>+G57+G55</f>
        <v>0</v>
      </c>
      <c r="H59" s="45">
        <f t="shared" ref="H59:AJ59" si="11">+H57+H55</f>
        <v>0</v>
      </c>
      <c r="I59" s="45">
        <f t="shared" si="11"/>
        <v>0</v>
      </c>
      <c r="J59" s="45">
        <f t="shared" si="11"/>
        <v>0</v>
      </c>
      <c r="K59" s="45">
        <f t="shared" si="11"/>
        <v>0</v>
      </c>
      <c r="L59" s="45">
        <f t="shared" si="11"/>
        <v>72</v>
      </c>
      <c r="M59" s="45">
        <f t="shared" si="11"/>
        <v>48</v>
      </c>
      <c r="N59" s="45">
        <f t="shared" si="11"/>
        <v>0</v>
      </c>
      <c r="O59" s="45">
        <f t="shared" si="11"/>
        <v>0</v>
      </c>
      <c r="P59" s="45">
        <f t="shared" si="11"/>
        <v>0</v>
      </c>
      <c r="Q59" s="45">
        <f t="shared" si="11"/>
        <v>0</v>
      </c>
      <c r="R59" s="45">
        <f t="shared" si="11"/>
        <v>0</v>
      </c>
      <c r="S59" s="45">
        <f t="shared" si="11"/>
        <v>0</v>
      </c>
      <c r="T59" s="45">
        <f t="shared" si="11"/>
        <v>0</v>
      </c>
      <c r="U59" s="45">
        <f t="shared" si="11"/>
        <v>0</v>
      </c>
      <c r="V59" s="45">
        <f t="shared" si="11"/>
        <v>0</v>
      </c>
      <c r="W59" s="45">
        <f t="shared" si="11"/>
        <v>0</v>
      </c>
      <c r="X59" s="45">
        <f t="shared" si="11"/>
        <v>0</v>
      </c>
      <c r="Y59" s="45">
        <f t="shared" si="11"/>
        <v>0</v>
      </c>
      <c r="Z59" s="45">
        <f t="shared" si="11"/>
        <v>0</v>
      </c>
      <c r="AA59" s="45">
        <f t="shared" si="11"/>
        <v>0</v>
      </c>
      <c r="AB59" s="45">
        <f t="shared" si="11"/>
        <v>0</v>
      </c>
      <c r="AC59" s="45">
        <f t="shared" si="11"/>
        <v>0</v>
      </c>
      <c r="AD59" s="45">
        <f t="shared" si="11"/>
        <v>0</v>
      </c>
      <c r="AE59" s="45">
        <f t="shared" si="11"/>
        <v>0</v>
      </c>
      <c r="AF59" s="45">
        <f t="shared" si="11"/>
        <v>0</v>
      </c>
      <c r="AG59" s="45">
        <f t="shared" si="11"/>
        <v>0</v>
      </c>
      <c r="AH59" s="45">
        <f t="shared" si="11"/>
        <v>0</v>
      </c>
      <c r="AI59" s="45">
        <f t="shared" si="11"/>
        <v>0</v>
      </c>
      <c r="AJ59" s="45">
        <f t="shared" si="11"/>
        <v>0</v>
      </c>
      <c r="AK59" s="46">
        <f>SUM(F59:AJ59)</f>
        <v>120</v>
      </c>
      <c r="AL59" s="47">
        <f>AL58</f>
        <v>0</v>
      </c>
      <c r="AM59" s="48" t="e">
        <f t="shared" si="10"/>
        <v>#DIV/0!</v>
      </c>
    </row>
    <row r="60" spans="2:41" ht="16.5" thickBot="1" x14ac:dyDescent="0.3">
      <c r="B60" s="50" t="s">
        <v>18</v>
      </c>
      <c r="C60" s="51" t="s">
        <v>27</v>
      </c>
      <c r="D60" s="52" t="s">
        <v>22</v>
      </c>
      <c r="E60" s="53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5"/>
      <c r="AL60" s="56"/>
      <c r="AM60" s="57"/>
    </row>
    <row r="61" spans="2:41" ht="32.25" customHeight="1" thickBot="1" x14ac:dyDescent="0.3">
      <c r="B61" s="110" t="s">
        <v>35</v>
      </c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2"/>
    </row>
    <row r="62" spans="2:41" ht="15.75" x14ac:dyDescent="0.25">
      <c r="B62" s="115" t="s">
        <v>20</v>
      </c>
      <c r="C62" s="116"/>
      <c r="D62" s="22"/>
      <c r="E62" s="23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5"/>
      <c r="AL62" s="26"/>
      <c r="AM62" s="27"/>
    </row>
    <row r="63" spans="2:41" ht="15.75" x14ac:dyDescent="0.25">
      <c r="B63" s="102" t="s">
        <v>21</v>
      </c>
      <c r="C63" s="28" t="s">
        <v>17</v>
      </c>
      <c r="D63" s="103" t="s">
        <v>22</v>
      </c>
      <c r="E63" s="30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04">
        <f>SUM(F64:AJ64)</f>
        <v>0</v>
      </c>
      <c r="AL63" s="106">
        <f>SUM(F63:AJ63)</f>
        <v>0</v>
      </c>
      <c r="AM63" s="108" t="e">
        <f t="shared" si="0"/>
        <v>#DIV/0!</v>
      </c>
      <c r="AO63" s="60"/>
    </row>
    <row r="64" spans="2:41" ht="18.75" x14ac:dyDescent="0.25">
      <c r="B64" s="102"/>
      <c r="C64" s="28" t="s">
        <v>16</v>
      </c>
      <c r="D64" s="103"/>
      <c r="E64" s="34">
        <f>+AK63+9668</f>
        <v>9668</v>
      </c>
      <c r="F64" s="35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105"/>
      <c r="AL64" s="107"/>
      <c r="AM64" s="109"/>
    </row>
    <row r="65" spans="2:41" ht="15.75" x14ac:dyDescent="0.25">
      <c r="B65" s="102" t="s">
        <v>23</v>
      </c>
      <c r="C65" s="28" t="s">
        <v>17</v>
      </c>
      <c r="D65" s="103" t="s">
        <v>22</v>
      </c>
      <c r="E65" s="30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04">
        <f>SUM(F66:AJ66)</f>
        <v>0</v>
      </c>
      <c r="AL65" s="106">
        <f>SUM(F65:AJ65)</f>
        <v>0</v>
      </c>
      <c r="AM65" s="108" t="e">
        <f t="shared" si="0"/>
        <v>#DIV/0!</v>
      </c>
      <c r="AO65" s="60"/>
    </row>
    <row r="66" spans="2:41" ht="18.75" x14ac:dyDescent="0.25">
      <c r="B66" s="102"/>
      <c r="C66" s="28" t="s">
        <v>16</v>
      </c>
      <c r="D66" s="103"/>
      <c r="E66" s="34">
        <f>AK65+4790</f>
        <v>4790</v>
      </c>
      <c r="F66" s="37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105"/>
      <c r="AL66" s="107"/>
      <c r="AM66" s="109"/>
    </row>
    <row r="67" spans="2:41" ht="32.25" thickBot="1" x14ac:dyDescent="0.3">
      <c r="B67" s="101" t="s">
        <v>24</v>
      </c>
      <c r="C67" s="39" t="s">
        <v>25</v>
      </c>
      <c r="D67" s="88" t="s">
        <v>22</v>
      </c>
      <c r="E67" s="40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>
        <f>AK63+AK65</f>
        <v>0</v>
      </c>
      <c r="AL67" s="42">
        <f>AL63+AL65</f>
        <v>0</v>
      </c>
      <c r="AM67" s="90" t="e">
        <f t="shared" si="0"/>
        <v>#DIV/0!</v>
      </c>
    </row>
    <row r="68" spans="2:41" ht="32.25" thickBot="1" x14ac:dyDescent="0.3">
      <c r="B68" s="101"/>
      <c r="C68" s="39" t="s">
        <v>26</v>
      </c>
      <c r="D68" s="88" t="s">
        <v>22</v>
      </c>
      <c r="E68" s="43">
        <f>E64+E66</f>
        <v>14458</v>
      </c>
      <c r="F68" s="44">
        <f>+F66+F64</f>
        <v>0</v>
      </c>
      <c r="G68" s="45">
        <f>+G66+G64</f>
        <v>0</v>
      </c>
      <c r="H68" s="45">
        <f t="shared" ref="H68:AJ77" si="12">+H66+H64</f>
        <v>0</v>
      </c>
      <c r="I68" s="45">
        <f t="shared" si="12"/>
        <v>0</v>
      </c>
      <c r="J68" s="45">
        <f t="shared" si="12"/>
        <v>0</v>
      </c>
      <c r="K68" s="45">
        <f t="shared" si="12"/>
        <v>0</v>
      </c>
      <c r="L68" s="45">
        <f t="shared" si="12"/>
        <v>0</v>
      </c>
      <c r="M68" s="45">
        <f t="shared" si="12"/>
        <v>0</v>
      </c>
      <c r="N68" s="45">
        <f t="shared" si="12"/>
        <v>0</v>
      </c>
      <c r="O68" s="45">
        <f t="shared" si="12"/>
        <v>0</v>
      </c>
      <c r="P68" s="45">
        <f t="shared" si="12"/>
        <v>0</v>
      </c>
      <c r="Q68" s="45">
        <f t="shared" si="12"/>
        <v>0</v>
      </c>
      <c r="R68" s="45">
        <f t="shared" si="12"/>
        <v>0</v>
      </c>
      <c r="S68" s="45">
        <f t="shared" si="12"/>
        <v>0</v>
      </c>
      <c r="T68" s="45">
        <f t="shared" si="12"/>
        <v>0</v>
      </c>
      <c r="U68" s="45">
        <f t="shared" si="12"/>
        <v>0</v>
      </c>
      <c r="V68" s="45">
        <f t="shared" si="12"/>
        <v>0</v>
      </c>
      <c r="W68" s="45">
        <f t="shared" si="12"/>
        <v>0</v>
      </c>
      <c r="X68" s="45">
        <f t="shared" si="12"/>
        <v>0</v>
      </c>
      <c r="Y68" s="45">
        <f t="shared" si="12"/>
        <v>0</v>
      </c>
      <c r="Z68" s="45">
        <f t="shared" si="12"/>
        <v>0</v>
      </c>
      <c r="AA68" s="45">
        <f t="shared" si="12"/>
        <v>0</v>
      </c>
      <c r="AB68" s="45">
        <f t="shared" si="12"/>
        <v>0</v>
      </c>
      <c r="AC68" s="45">
        <f t="shared" si="12"/>
        <v>0</v>
      </c>
      <c r="AD68" s="45">
        <f t="shared" si="12"/>
        <v>0</v>
      </c>
      <c r="AE68" s="45">
        <f t="shared" si="12"/>
        <v>0</v>
      </c>
      <c r="AF68" s="45">
        <f t="shared" si="12"/>
        <v>0</v>
      </c>
      <c r="AG68" s="45">
        <f t="shared" si="12"/>
        <v>0</v>
      </c>
      <c r="AH68" s="45">
        <f t="shared" si="12"/>
        <v>0</v>
      </c>
      <c r="AI68" s="45">
        <f t="shared" si="12"/>
        <v>0</v>
      </c>
      <c r="AJ68" s="45">
        <f t="shared" si="12"/>
        <v>0</v>
      </c>
      <c r="AK68" s="46">
        <f>SUM(F68:AJ68)</f>
        <v>0</v>
      </c>
      <c r="AL68" s="47">
        <f>AL67</f>
        <v>0</v>
      </c>
      <c r="AM68" s="48" t="e">
        <f t="shared" si="0"/>
        <v>#DIV/0!</v>
      </c>
    </row>
    <row r="69" spans="2:41" ht="16.5" thickBot="1" x14ac:dyDescent="0.3">
      <c r="B69" s="50" t="s">
        <v>18</v>
      </c>
      <c r="C69" s="51" t="s">
        <v>27</v>
      </c>
      <c r="D69" s="52" t="s">
        <v>22</v>
      </c>
      <c r="E69" s="53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5"/>
      <c r="AL69" s="56"/>
      <c r="AM69" s="57"/>
    </row>
    <row r="70" spans="2:41" ht="29.25" customHeight="1" thickBot="1" x14ac:dyDescent="0.3">
      <c r="B70" s="110" t="s">
        <v>36</v>
      </c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2"/>
    </row>
    <row r="71" spans="2:41" ht="15.75" x14ac:dyDescent="0.25">
      <c r="B71" s="115" t="s">
        <v>20</v>
      </c>
      <c r="C71" s="116"/>
      <c r="D71" s="22"/>
      <c r="E71" s="23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5"/>
      <c r="AL71" s="26"/>
      <c r="AM71" s="27"/>
    </row>
    <row r="72" spans="2:41" ht="15.75" x14ac:dyDescent="0.25">
      <c r="B72" s="102" t="s">
        <v>21</v>
      </c>
      <c r="C72" s="28" t="s">
        <v>17</v>
      </c>
      <c r="D72" s="103" t="s">
        <v>22</v>
      </c>
      <c r="E72" s="30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104">
        <f>SUM(F73:AJ73)</f>
        <v>0</v>
      </c>
      <c r="AL72" s="106">
        <f>SUM(F72:AJ72)</f>
        <v>0</v>
      </c>
      <c r="AM72" s="108" t="e">
        <f t="shared" si="0"/>
        <v>#DIV/0!</v>
      </c>
      <c r="AO72" s="60"/>
    </row>
    <row r="73" spans="2:41" ht="18.75" x14ac:dyDescent="0.25">
      <c r="B73" s="102"/>
      <c r="C73" s="28" t="s">
        <v>16</v>
      </c>
      <c r="D73" s="103"/>
      <c r="E73" s="34">
        <f>150+AK72</f>
        <v>150</v>
      </c>
      <c r="F73" s="35"/>
      <c r="G73" s="36"/>
      <c r="H73" s="36"/>
      <c r="I73" s="36"/>
      <c r="J73" s="38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105"/>
      <c r="AL73" s="107"/>
      <c r="AM73" s="109"/>
    </row>
    <row r="74" spans="2:41" ht="15.75" x14ac:dyDescent="0.25">
      <c r="B74" s="102" t="s">
        <v>23</v>
      </c>
      <c r="C74" s="28" t="s">
        <v>17</v>
      </c>
      <c r="D74" s="103" t="s">
        <v>22</v>
      </c>
      <c r="E74" s="30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104">
        <f>SUM(F75:AJ75)</f>
        <v>0</v>
      </c>
      <c r="AL74" s="106">
        <f>SUM(F74:AJ74)</f>
        <v>0</v>
      </c>
      <c r="AM74" s="108" t="e">
        <f t="shared" si="0"/>
        <v>#DIV/0!</v>
      </c>
      <c r="AO74" s="60"/>
    </row>
    <row r="75" spans="2:41" ht="18.75" x14ac:dyDescent="0.25">
      <c r="B75" s="102"/>
      <c r="C75" s="28" t="s">
        <v>16</v>
      </c>
      <c r="D75" s="103"/>
      <c r="E75" s="34">
        <f>160+AK74</f>
        <v>160</v>
      </c>
      <c r="F75" s="37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105"/>
      <c r="AL75" s="107"/>
      <c r="AM75" s="109"/>
    </row>
    <row r="76" spans="2:41" ht="32.25" thickBot="1" x14ac:dyDescent="0.3">
      <c r="B76" s="101" t="s">
        <v>24</v>
      </c>
      <c r="C76" s="39" t="s">
        <v>25</v>
      </c>
      <c r="D76" s="88" t="s">
        <v>22</v>
      </c>
      <c r="E76" s="40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>
        <f>AK72+AK74</f>
        <v>0</v>
      </c>
      <c r="AL76" s="42">
        <f>AL72+AL74</f>
        <v>0</v>
      </c>
      <c r="AM76" s="90" t="e">
        <f t="shared" si="0"/>
        <v>#DIV/0!</v>
      </c>
    </row>
    <row r="77" spans="2:41" ht="32.25" thickBot="1" x14ac:dyDescent="0.3">
      <c r="B77" s="101"/>
      <c r="C77" s="39" t="s">
        <v>26</v>
      </c>
      <c r="D77" s="88" t="s">
        <v>22</v>
      </c>
      <c r="E77" s="43">
        <f>+AK77</f>
        <v>0</v>
      </c>
      <c r="F77" s="44">
        <f>+F75+F73</f>
        <v>0</v>
      </c>
      <c r="G77" s="45">
        <f>+G75+G73</f>
        <v>0</v>
      </c>
      <c r="H77" s="45">
        <f t="shared" si="12"/>
        <v>0</v>
      </c>
      <c r="I77" s="45">
        <f t="shared" si="12"/>
        <v>0</v>
      </c>
      <c r="J77" s="45">
        <f t="shared" si="12"/>
        <v>0</v>
      </c>
      <c r="K77" s="45">
        <f t="shared" si="12"/>
        <v>0</v>
      </c>
      <c r="L77" s="45">
        <f t="shared" si="12"/>
        <v>0</v>
      </c>
      <c r="M77" s="45">
        <f t="shared" si="12"/>
        <v>0</v>
      </c>
      <c r="N77" s="45">
        <f t="shared" si="12"/>
        <v>0</v>
      </c>
      <c r="O77" s="45">
        <f t="shared" si="12"/>
        <v>0</v>
      </c>
      <c r="P77" s="45">
        <f t="shared" si="12"/>
        <v>0</v>
      </c>
      <c r="Q77" s="45">
        <f t="shared" si="12"/>
        <v>0</v>
      </c>
      <c r="R77" s="45">
        <f t="shared" si="12"/>
        <v>0</v>
      </c>
      <c r="S77" s="45">
        <f t="shared" si="12"/>
        <v>0</v>
      </c>
      <c r="T77" s="45">
        <f t="shared" si="12"/>
        <v>0</v>
      </c>
      <c r="U77" s="45">
        <f t="shared" si="12"/>
        <v>0</v>
      </c>
      <c r="V77" s="45">
        <f t="shared" si="12"/>
        <v>0</v>
      </c>
      <c r="W77" s="45">
        <f t="shared" si="12"/>
        <v>0</v>
      </c>
      <c r="X77" s="45">
        <f t="shared" si="12"/>
        <v>0</v>
      </c>
      <c r="Y77" s="45">
        <f t="shared" si="12"/>
        <v>0</v>
      </c>
      <c r="Z77" s="45">
        <f t="shared" si="12"/>
        <v>0</v>
      </c>
      <c r="AA77" s="45">
        <f t="shared" si="12"/>
        <v>0</v>
      </c>
      <c r="AB77" s="45">
        <f t="shared" si="12"/>
        <v>0</v>
      </c>
      <c r="AC77" s="45">
        <f t="shared" si="12"/>
        <v>0</v>
      </c>
      <c r="AD77" s="45">
        <f t="shared" si="12"/>
        <v>0</v>
      </c>
      <c r="AE77" s="45">
        <f t="shared" si="12"/>
        <v>0</v>
      </c>
      <c r="AF77" s="45">
        <f t="shared" si="12"/>
        <v>0</v>
      </c>
      <c r="AG77" s="45">
        <f t="shared" si="12"/>
        <v>0</v>
      </c>
      <c r="AH77" s="45">
        <f t="shared" si="12"/>
        <v>0</v>
      </c>
      <c r="AI77" s="45">
        <f t="shared" si="12"/>
        <v>0</v>
      </c>
      <c r="AJ77" s="45">
        <f t="shared" si="12"/>
        <v>0</v>
      </c>
      <c r="AK77" s="46">
        <f>SUM(F77:AJ77)</f>
        <v>0</v>
      </c>
      <c r="AL77" s="47">
        <f>AL76</f>
        <v>0</v>
      </c>
      <c r="AM77" s="48" t="e">
        <f t="shared" si="0"/>
        <v>#DIV/0!</v>
      </c>
    </row>
    <row r="78" spans="2:41" ht="16.5" thickBot="1" x14ac:dyDescent="0.3">
      <c r="B78" s="50" t="s">
        <v>18</v>
      </c>
      <c r="C78" s="51" t="s">
        <v>27</v>
      </c>
      <c r="D78" s="52" t="s">
        <v>22</v>
      </c>
      <c r="E78" s="53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5"/>
      <c r="AL78" s="56"/>
      <c r="AM78" s="57"/>
    </row>
    <row r="79" spans="2:41" ht="29.25" customHeight="1" thickBot="1" x14ac:dyDescent="0.3">
      <c r="B79" s="110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2"/>
    </row>
    <row r="80" spans="2:41" ht="29.25" customHeight="1" thickBot="1" x14ac:dyDescent="0.3">
      <c r="B80" s="110" t="s">
        <v>90</v>
      </c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2"/>
    </row>
    <row r="81" spans="2:41" ht="30.75" customHeight="1" x14ac:dyDescent="0.25">
      <c r="B81" s="113" t="s">
        <v>31</v>
      </c>
      <c r="C81" s="114"/>
      <c r="D81" s="22"/>
      <c r="E81" s="23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25"/>
      <c r="AL81" s="26"/>
      <c r="AM81" s="27"/>
    </row>
    <row r="82" spans="2:41" ht="15.75" x14ac:dyDescent="0.25">
      <c r="B82" s="102" t="s">
        <v>21</v>
      </c>
      <c r="C82" s="28" t="s">
        <v>17</v>
      </c>
      <c r="D82" s="103" t="s">
        <v>22</v>
      </c>
      <c r="E82" s="30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104">
        <f>SUM(F83:AJ83)</f>
        <v>1656</v>
      </c>
      <c r="AL82" s="106">
        <f>SUM(F82:AJ82)</f>
        <v>0</v>
      </c>
      <c r="AM82" s="108" t="e">
        <f t="shared" si="0"/>
        <v>#DIV/0!</v>
      </c>
      <c r="AO82" s="60"/>
    </row>
    <row r="83" spans="2:41" ht="18.75" x14ac:dyDescent="0.25">
      <c r="B83" s="102"/>
      <c r="C83" s="28" t="s">
        <v>16</v>
      </c>
      <c r="D83" s="103"/>
      <c r="E83" s="34">
        <f>7173+AK82</f>
        <v>8829</v>
      </c>
      <c r="F83" s="36">
        <v>168</v>
      </c>
      <c r="G83" s="36">
        <v>204</v>
      </c>
      <c r="H83" s="36"/>
      <c r="I83" s="36"/>
      <c r="J83" s="38">
        <v>156</v>
      </c>
      <c r="K83" s="36">
        <f>132+192</f>
        <v>324</v>
      </c>
      <c r="L83" s="36"/>
      <c r="M83" s="36">
        <v>96</v>
      </c>
      <c r="N83" s="36"/>
      <c r="O83" s="36">
        <v>228</v>
      </c>
      <c r="P83" s="36">
        <v>108</v>
      </c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>
        <v>180</v>
      </c>
      <c r="AF83" s="36">
        <v>132</v>
      </c>
      <c r="AG83" s="36">
        <v>60</v>
      </c>
      <c r="AH83" s="36"/>
      <c r="AI83" s="36"/>
      <c r="AJ83" s="36"/>
      <c r="AK83" s="105"/>
      <c r="AL83" s="107"/>
      <c r="AM83" s="109"/>
    </row>
    <row r="84" spans="2:41" ht="15.75" x14ac:dyDescent="0.25">
      <c r="B84" s="102" t="s">
        <v>23</v>
      </c>
      <c r="C84" s="28" t="s">
        <v>17</v>
      </c>
      <c r="D84" s="103" t="s">
        <v>22</v>
      </c>
      <c r="E84" s="30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104">
        <f>SUM(F85:AJ85)</f>
        <v>0</v>
      </c>
      <c r="AL84" s="106">
        <f>SUM(F84:AJ84)</f>
        <v>0</v>
      </c>
      <c r="AM84" s="108" t="e">
        <f t="shared" si="0"/>
        <v>#DIV/0!</v>
      </c>
    </row>
    <row r="85" spans="2:41" ht="18.75" x14ac:dyDescent="0.25">
      <c r="B85" s="102"/>
      <c r="C85" s="28" t="s">
        <v>16</v>
      </c>
      <c r="D85" s="103"/>
      <c r="E85" s="34">
        <f>2025+AK84</f>
        <v>2025</v>
      </c>
      <c r="F85" s="37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105"/>
      <c r="AL85" s="107"/>
      <c r="AM85" s="109"/>
    </row>
    <row r="86" spans="2:41" ht="32.25" thickBot="1" x14ac:dyDescent="0.3">
      <c r="B86" s="101" t="s">
        <v>24</v>
      </c>
      <c r="C86" s="39" t="s">
        <v>25</v>
      </c>
      <c r="D86" s="88" t="s">
        <v>22</v>
      </c>
      <c r="E86" s="40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>
        <f>AK82+AK84</f>
        <v>1656</v>
      </c>
      <c r="AL86" s="42">
        <f>AL82+AL84</f>
        <v>0</v>
      </c>
      <c r="AM86" s="90" t="e">
        <f t="shared" si="0"/>
        <v>#DIV/0!</v>
      </c>
    </row>
    <row r="87" spans="2:41" ht="32.25" thickBot="1" x14ac:dyDescent="0.3">
      <c r="B87" s="101"/>
      <c r="C87" s="39" t="s">
        <v>26</v>
      </c>
      <c r="D87" s="88" t="s">
        <v>22</v>
      </c>
      <c r="E87" s="43">
        <f>+AK87</f>
        <v>1656</v>
      </c>
      <c r="F87" s="44">
        <f>+F85+F83</f>
        <v>168</v>
      </c>
      <c r="G87" s="45">
        <f>+G85+G83</f>
        <v>204</v>
      </c>
      <c r="H87" s="45">
        <f t="shared" ref="H87:AJ87" si="13">+H85+H83</f>
        <v>0</v>
      </c>
      <c r="I87" s="45">
        <f t="shared" si="13"/>
        <v>0</v>
      </c>
      <c r="J87" s="45">
        <f t="shared" si="13"/>
        <v>156</v>
      </c>
      <c r="K87" s="45">
        <f t="shared" si="13"/>
        <v>324</v>
      </c>
      <c r="L87" s="45">
        <f t="shared" si="13"/>
        <v>0</v>
      </c>
      <c r="M87" s="45">
        <f t="shared" si="13"/>
        <v>96</v>
      </c>
      <c r="N87" s="45">
        <f t="shared" si="13"/>
        <v>0</v>
      </c>
      <c r="O87" s="45">
        <f t="shared" si="13"/>
        <v>228</v>
      </c>
      <c r="P87" s="45">
        <f t="shared" si="13"/>
        <v>108</v>
      </c>
      <c r="Q87" s="45">
        <f t="shared" si="13"/>
        <v>0</v>
      </c>
      <c r="R87" s="45">
        <f t="shared" si="13"/>
        <v>0</v>
      </c>
      <c r="S87" s="45">
        <f t="shared" si="13"/>
        <v>0</v>
      </c>
      <c r="T87" s="45">
        <f t="shared" si="13"/>
        <v>0</v>
      </c>
      <c r="U87" s="45">
        <f t="shared" si="13"/>
        <v>0</v>
      </c>
      <c r="V87" s="45">
        <f t="shared" si="13"/>
        <v>0</v>
      </c>
      <c r="W87" s="45">
        <f t="shared" si="13"/>
        <v>0</v>
      </c>
      <c r="X87" s="45">
        <f t="shared" si="13"/>
        <v>0</v>
      </c>
      <c r="Y87" s="45">
        <f t="shared" si="13"/>
        <v>0</v>
      </c>
      <c r="Z87" s="45">
        <f t="shared" si="13"/>
        <v>0</v>
      </c>
      <c r="AA87" s="45">
        <f t="shared" si="13"/>
        <v>0</v>
      </c>
      <c r="AB87" s="45">
        <f t="shared" si="13"/>
        <v>0</v>
      </c>
      <c r="AC87" s="45">
        <f t="shared" si="13"/>
        <v>0</v>
      </c>
      <c r="AD87" s="45">
        <f t="shared" si="13"/>
        <v>0</v>
      </c>
      <c r="AE87" s="45">
        <f t="shared" si="13"/>
        <v>180</v>
      </c>
      <c r="AF87" s="45">
        <f t="shared" si="13"/>
        <v>132</v>
      </c>
      <c r="AG87" s="45">
        <f t="shared" si="13"/>
        <v>60</v>
      </c>
      <c r="AH87" s="45">
        <f t="shared" si="13"/>
        <v>0</v>
      </c>
      <c r="AI87" s="45">
        <f t="shared" si="13"/>
        <v>0</v>
      </c>
      <c r="AJ87" s="45">
        <f t="shared" si="13"/>
        <v>0</v>
      </c>
      <c r="AK87" s="46">
        <f>SUM(F87:AJ87)</f>
        <v>1656</v>
      </c>
      <c r="AL87" s="47">
        <f>AL86</f>
        <v>0</v>
      </c>
      <c r="AM87" s="48" t="e">
        <f t="shared" si="0"/>
        <v>#DIV/0!</v>
      </c>
    </row>
    <row r="88" spans="2:41" ht="15.75" x14ac:dyDescent="0.25">
      <c r="B88" s="61" t="s">
        <v>18</v>
      </c>
      <c r="C88" s="62" t="s">
        <v>27</v>
      </c>
      <c r="D88" s="63" t="s">
        <v>22</v>
      </c>
      <c r="E88" s="64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6"/>
      <c r="AL88" s="67"/>
      <c r="AM88" s="68"/>
    </row>
    <row r="89" spans="2:41" ht="15" customHeight="1" x14ac:dyDescent="0.25">
      <c r="B89" s="136">
        <v>235</v>
      </c>
      <c r="C89" s="137"/>
      <c r="D89" s="138"/>
      <c r="E89" s="71"/>
      <c r="F89" s="72"/>
      <c r="G89" s="72">
        <v>2</v>
      </c>
      <c r="H89" s="72"/>
      <c r="I89" s="72"/>
      <c r="J89" s="72">
        <v>3</v>
      </c>
      <c r="K89" s="72">
        <f>2+4</f>
        <v>6</v>
      </c>
      <c r="L89" s="72"/>
      <c r="M89" s="72">
        <v>2</v>
      </c>
      <c r="N89" s="72"/>
      <c r="O89" s="72">
        <v>5</v>
      </c>
      <c r="P89" s="72">
        <v>2</v>
      </c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1"/>
      <c r="AD89" s="72"/>
      <c r="AE89" s="91">
        <v>5</v>
      </c>
      <c r="AF89" s="72">
        <v>2</v>
      </c>
      <c r="AG89" s="72">
        <v>1</v>
      </c>
      <c r="AH89" s="72"/>
      <c r="AI89" s="72"/>
      <c r="AJ89" s="71"/>
      <c r="AK89" s="71"/>
      <c r="AL89" s="71"/>
      <c r="AM89" s="71"/>
    </row>
    <row r="90" spans="2:41" ht="15" customHeight="1" x14ac:dyDescent="0.25">
      <c r="B90" s="136">
        <v>771</v>
      </c>
      <c r="C90" s="137"/>
      <c r="D90" s="138"/>
      <c r="E90" s="71"/>
      <c r="F90" s="72"/>
      <c r="G90" s="71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1"/>
      <c r="AD90" s="72"/>
      <c r="AE90" s="91"/>
      <c r="AF90" s="72"/>
      <c r="AG90" s="72"/>
      <c r="AH90" s="72"/>
      <c r="AI90" s="72"/>
      <c r="AJ90" s="71"/>
      <c r="AK90" s="71"/>
      <c r="AL90" s="71"/>
      <c r="AM90" s="71"/>
    </row>
    <row r="91" spans="2:41" ht="15" customHeight="1" x14ac:dyDescent="0.25">
      <c r="B91" s="136">
        <v>317</v>
      </c>
      <c r="C91" s="137"/>
      <c r="D91" s="138"/>
      <c r="E91" s="71"/>
      <c r="F91" s="72"/>
      <c r="G91" s="72">
        <v>5</v>
      </c>
      <c r="H91" s="72"/>
      <c r="I91" s="72"/>
      <c r="J91" s="72">
        <v>3</v>
      </c>
      <c r="K91" s="72">
        <f>3+3</f>
        <v>6</v>
      </c>
      <c r="L91" s="72"/>
      <c r="M91" s="72">
        <v>2</v>
      </c>
      <c r="N91" s="72"/>
      <c r="O91" s="72">
        <v>6</v>
      </c>
      <c r="P91" s="72">
        <v>3</v>
      </c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1"/>
      <c r="AD91" s="72"/>
      <c r="AE91" s="91"/>
      <c r="AF91" s="72">
        <v>3</v>
      </c>
      <c r="AG91" s="72">
        <v>1</v>
      </c>
      <c r="AH91" s="72"/>
      <c r="AI91" s="72"/>
      <c r="AJ91" s="71"/>
      <c r="AK91" s="71"/>
      <c r="AL91" s="71"/>
      <c r="AM91" s="71"/>
    </row>
    <row r="92" spans="2:41" ht="15" customHeight="1" x14ac:dyDescent="0.25">
      <c r="B92" s="136">
        <v>912</v>
      </c>
      <c r="C92" s="137"/>
      <c r="D92" s="138"/>
      <c r="E92" s="71"/>
      <c r="F92" s="72">
        <v>4</v>
      </c>
      <c r="G92" s="72">
        <v>4</v>
      </c>
      <c r="H92" s="72"/>
      <c r="I92" s="72"/>
      <c r="J92" s="72">
        <v>1</v>
      </c>
      <c r="K92" s="72">
        <f>2+3</f>
        <v>5</v>
      </c>
      <c r="L92" s="72"/>
      <c r="M92" s="72">
        <v>2</v>
      </c>
      <c r="N92" s="72"/>
      <c r="O92" s="72">
        <v>4</v>
      </c>
      <c r="P92" s="72">
        <v>2</v>
      </c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1"/>
      <c r="AD92" s="72"/>
      <c r="AE92" s="91">
        <v>3</v>
      </c>
      <c r="AF92" s="72">
        <v>2</v>
      </c>
      <c r="AG92" s="72">
        <v>1</v>
      </c>
      <c r="AH92" s="72"/>
      <c r="AI92" s="72"/>
      <c r="AJ92" s="71"/>
      <c r="AK92" s="71"/>
      <c r="AL92" s="71"/>
      <c r="AM92" s="71"/>
    </row>
    <row r="93" spans="2:41" ht="15" customHeight="1" x14ac:dyDescent="0.25">
      <c r="B93" s="136">
        <v>351</v>
      </c>
      <c r="C93" s="137"/>
      <c r="D93" s="138"/>
      <c r="E93" s="71"/>
      <c r="F93" s="72"/>
      <c r="G93" s="71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1"/>
      <c r="AB93" s="72"/>
      <c r="AC93" s="71"/>
      <c r="AD93" s="72"/>
      <c r="AE93" s="91"/>
      <c r="AF93" s="72"/>
      <c r="AG93" s="72"/>
      <c r="AH93" s="72"/>
      <c r="AI93" s="72"/>
      <c r="AJ93" s="71"/>
      <c r="AK93" s="71"/>
      <c r="AL93" s="71"/>
      <c r="AM93" s="71"/>
    </row>
    <row r="94" spans="2:41" ht="15" customHeight="1" x14ac:dyDescent="0.25">
      <c r="B94" s="136">
        <v>275</v>
      </c>
      <c r="C94" s="137"/>
      <c r="D94" s="138"/>
      <c r="E94" s="71"/>
      <c r="F94" s="71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1"/>
      <c r="AB94" s="72"/>
      <c r="AC94" s="71"/>
      <c r="AD94" s="72"/>
      <c r="AE94" s="91"/>
      <c r="AF94" s="72"/>
      <c r="AG94" s="72"/>
      <c r="AH94" s="72"/>
      <c r="AI94" s="72"/>
      <c r="AJ94" s="71"/>
      <c r="AK94" s="71"/>
      <c r="AL94" s="71"/>
      <c r="AM94" s="71"/>
    </row>
    <row r="95" spans="2:41" ht="15" customHeight="1" x14ac:dyDescent="0.25">
      <c r="B95" s="136">
        <v>312</v>
      </c>
      <c r="C95" s="137"/>
      <c r="D95" s="138"/>
      <c r="E95" s="71"/>
      <c r="F95" s="71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1"/>
      <c r="AB95" s="72"/>
      <c r="AC95" s="71"/>
      <c r="AD95" s="72"/>
      <c r="AE95" s="91"/>
      <c r="AF95" s="72"/>
      <c r="AG95" s="72"/>
      <c r="AH95" s="72"/>
      <c r="AI95" s="72"/>
      <c r="AJ95" s="71"/>
      <c r="AK95" s="71"/>
      <c r="AL95" s="71"/>
      <c r="AM95" s="71"/>
    </row>
    <row r="96" spans="2:41" ht="15" customHeight="1" x14ac:dyDescent="0.25">
      <c r="B96" s="136">
        <v>354</v>
      </c>
      <c r="C96" s="137"/>
      <c r="D96" s="138"/>
      <c r="E96" s="71"/>
      <c r="F96" s="71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1"/>
      <c r="AB96" s="72"/>
      <c r="AC96" s="71"/>
      <c r="AD96" s="72"/>
      <c r="AE96" s="91"/>
      <c r="AF96" s="72"/>
      <c r="AG96" s="72">
        <v>1</v>
      </c>
      <c r="AH96" s="72"/>
      <c r="AI96" s="72"/>
      <c r="AJ96" s="71"/>
      <c r="AK96" s="71"/>
      <c r="AL96" s="71"/>
      <c r="AM96" s="71"/>
    </row>
    <row r="97" spans="2:39" ht="15" customHeight="1" x14ac:dyDescent="0.25">
      <c r="B97" s="136">
        <v>394</v>
      </c>
      <c r="C97" s="137"/>
      <c r="D97" s="138"/>
      <c r="E97" s="71"/>
      <c r="F97" s="71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1"/>
      <c r="AB97" s="72"/>
      <c r="AC97" s="71"/>
      <c r="AD97" s="72"/>
      <c r="AE97" s="91"/>
      <c r="AF97" s="72"/>
      <c r="AG97" s="72"/>
      <c r="AH97" s="72"/>
      <c r="AI97" s="72"/>
      <c r="AJ97" s="71"/>
      <c r="AK97" s="71"/>
      <c r="AL97" s="71"/>
      <c r="AM97" s="71"/>
    </row>
    <row r="98" spans="2:39" ht="15" customHeight="1" x14ac:dyDescent="0.25">
      <c r="B98" s="136">
        <v>261</v>
      </c>
      <c r="C98" s="137"/>
      <c r="D98" s="138"/>
      <c r="E98" s="71"/>
      <c r="F98" s="72">
        <v>5</v>
      </c>
      <c r="G98" s="72">
        <v>3</v>
      </c>
      <c r="H98" s="72"/>
      <c r="I98" s="72"/>
      <c r="J98" s="72">
        <v>3</v>
      </c>
      <c r="K98" s="72">
        <f>2+3</f>
        <v>5</v>
      </c>
      <c r="L98" s="72"/>
      <c r="M98" s="72">
        <v>2</v>
      </c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1"/>
      <c r="AB98" s="72"/>
      <c r="AC98" s="71"/>
      <c r="AD98" s="72"/>
      <c r="AE98" s="91"/>
      <c r="AF98" s="72">
        <v>2</v>
      </c>
      <c r="AG98" s="72"/>
      <c r="AH98" s="72"/>
      <c r="AI98" s="72"/>
      <c r="AJ98" s="71"/>
      <c r="AK98" s="71"/>
      <c r="AL98" s="71"/>
      <c r="AM98" s="71"/>
    </row>
    <row r="99" spans="2:39" ht="15" customHeight="1" x14ac:dyDescent="0.25">
      <c r="B99" s="136">
        <v>344</v>
      </c>
      <c r="C99" s="137"/>
      <c r="D99" s="138"/>
      <c r="E99" s="71"/>
      <c r="F99" s="72"/>
      <c r="G99" s="72"/>
      <c r="H99" s="71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1"/>
      <c r="AB99" s="72"/>
      <c r="AC99" s="71"/>
      <c r="AD99" s="72"/>
      <c r="AE99" s="91"/>
      <c r="AF99" s="71"/>
      <c r="AG99" s="72"/>
      <c r="AH99" s="72"/>
      <c r="AI99" s="72"/>
      <c r="AJ99" s="71"/>
      <c r="AK99" s="71"/>
      <c r="AL99" s="71"/>
      <c r="AM99" s="71"/>
    </row>
    <row r="100" spans="2:39" ht="15" customHeight="1" x14ac:dyDescent="0.25">
      <c r="B100" s="136">
        <v>958</v>
      </c>
      <c r="C100" s="137"/>
      <c r="D100" s="138"/>
      <c r="E100" s="71"/>
      <c r="F100" s="72"/>
      <c r="G100" s="72"/>
      <c r="H100" s="71"/>
      <c r="I100" s="71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1"/>
      <c r="AB100" s="72"/>
      <c r="AC100" s="71"/>
      <c r="AD100" s="72"/>
      <c r="AE100" s="91"/>
      <c r="AF100" s="71"/>
      <c r="AG100" s="72"/>
      <c r="AH100" s="72"/>
      <c r="AI100" s="72"/>
      <c r="AJ100" s="71"/>
      <c r="AK100" s="71"/>
      <c r="AL100" s="71"/>
      <c r="AM100" s="71"/>
    </row>
    <row r="101" spans="2:39" ht="15" customHeight="1" x14ac:dyDescent="0.25">
      <c r="B101" s="136">
        <v>358</v>
      </c>
      <c r="C101" s="137"/>
      <c r="D101" s="138"/>
      <c r="E101" s="71"/>
      <c r="F101" s="72"/>
      <c r="G101" s="72"/>
      <c r="H101" s="71"/>
      <c r="I101" s="71"/>
      <c r="J101" s="71"/>
      <c r="K101" s="72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2"/>
      <c r="AC101" s="71"/>
      <c r="AD101" s="72"/>
      <c r="AE101" s="91"/>
      <c r="AF101" s="71"/>
      <c r="AG101" s="72"/>
      <c r="AH101" s="72"/>
      <c r="AI101" s="72"/>
      <c r="AJ101" s="71"/>
      <c r="AK101" s="71"/>
      <c r="AL101" s="71"/>
      <c r="AM101" s="71"/>
    </row>
    <row r="102" spans="2:39" ht="15" customHeight="1" x14ac:dyDescent="0.25">
      <c r="B102" s="136">
        <v>928</v>
      </c>
      <c r="C102" s="137"/>
      <c r="D102" s="138"/>
      <c r="E102" s="71"/>
      <c r="F102" s="72">
        <v>5</v>
      </c>
      <c r="G102" s="72">
        <v>3</v>
      </c>
      <c r="H102" s="71"/>
      <c r="I102" s="71"/>
      <c r="J102" s="72">
        <v>3</v>
      </c>
      <c r="K102" s="72">
        <f>2+3</f>
        <v>5</v>
      </c>
      <c r="L102" s="72"/>
      <c r="M102" s="72"/>
      <c r="N102" s="72"/>
      <c r="O102" s="72">
        <v>4</v>
      </c>
      <c r="P102" s="72">
        <v>2</v>
      </c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>
        <v>3</v>
      </c>
      <c r="AF102" s="72">
        <v>2</v>
      </c>
      <c r="AG102" s="72">
        <v>1</v>
      </c>
      <c r="AH102" s="72"/>
      <c r="AI102" s="72"/>
      <c r="AJ102" s="72"/>
      <c r="AK102" s="72"/>
      <c r="AL102" s="72"/>
      <c r="AM102" s="72"/>
    </row>
    <row r="103" spans="2:39" ht="15" customHeight="1" x14ac:dyDescent="0.25">
      <c r="B103" s="136">
        <v>581</v>
      </c>
      <c r="C103" s="137"/>
      <c r="D103" s="138"/>
      <c r="E103" s="71"/>
      <c r="F103" s="71"/>
      <c r="G103" s="72"/>
      <c r="H103" s="71"/>
      <c r="I103" s="71"/>
      <c r="J103" s="71"/>
      <c r="K103" s="72"/>
      <c r="L103" s="71"/>
      <c r="M103" s="71"/>
      <c r="N103" s="71"/>
      <c r="O103" s="71"/>
      <c r="P103" s="71"/>
      <c r="Q103" s="71"/>
      <c r="R103" s="71"/>
      <c r="S103" s="72"/>
      <c r="T103" s="72"/>
      <c r="U103" s="72"/>
      <c r="V103" s="71"/>
      <c r="W103" s="71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</row>
    <row r="104" spans="2:39" ht="15" customHeight="1" x14ac:dyDescent="0.25">
      <c r="B104" s="136">
        <v>683</v>
      </c>
      <c r="C104" s="137"/>
      <c r="D104" s="138"/>
      <c r="E104" s="71"/>
      <c r="F104" s="71"/>
      <c r="G104" s="72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2"/>
      <c r="T104" s="72"/>
      <c r="U104" s="72"/>
      <c r="V104" s="71"/>
      <c r="W104" s="71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</row>
    <row r="105" spans="2:39" ht="15" customHeight="1" x14ac:dyDescent="0.25">
      <c r="B105" s="136">
        <v>531</v>
      </c>
      <c r="C105" s="137"/>
      <c r="D105" s="138"/>
      <c r="E105" s="71"/>
      <c r="F105" s="71"/>
      <c r="G105" s="72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2"/>
      <c r="T105" s="72"/>
      <c r="U105" s="72"/>
      <c r="V105" s="71"/>
      <c r="W105" s="71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</row>
    <row r="106" spans="2:39" ht="15" customHeight="1" x14ac:dyDescent="0.25">
      <c r="B106" s="136">
        <v>926</v>
      </c>
      <c r="C106" s="137"/>
      <c r="D106" s="138"/>
      <c r="E106" s="71"/>
      <c r="F106" s="71"/>
      <c r="G106" s="72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2"/>
      <c r="T106" s="72"/>
      <c r="U106" s="72"/>
      <c r="V106" s="71"/>
      <c r="W106" s="71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</row>
    <row r="107" spans="2:39" ht="15" customHeight="1" x14ac:dyDescent="0.25">
      <c r="B107" s="136">
        <v>285</v>
      </c>
      <c r="C107" s="137"/>
      <c r="D107" s="138"/>
      <c r="E107" s="71"/>
      <c r="F107" s="71"/>
      <c r="G107" s="72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2"/>
      <c r="T107" s="72"/>
      <c r="U107" s="72"/>
      <c r="V107" s="71"/>
      <c r="W107" s="71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</row>
  </sheetData>
  <mergeCells count="146">
    <mergeCell ref="B107:D107"/>
    <mergeCell ref="B101:D101"/>
    <mergeCell ref="B102:D102"/>
    <mergeCell ref="B103:D103"/>
    <mergeCell ref="B104:D104"/>
    <mergeCell ref="B105:D105"/>
    <mergeCell ref="B106:D106"/>
    <mergeCell ref="B95:D95"/>
    <mergeCell ref="B96:D96"/>
    <mergeCell ref="B97:D97"/>
    <mergeCell ref="B98:D98"/>
    <mergeCell ref="B99:D99"/>
    <mergeCell ref="B100:D100"/>
    <mergeCell ref="B89:D89"/>
    <mergeCell ref="B90:D90"/>
    <mergeCell ref="B91:D91"/>
    <mergeCell ref="B92:D92"/>
    <mergeCell ref="B93:D93"/>
    <mergeCell ref="B94:D94"/>
    <mergeCell ref="B84:B85"/>
    <mergeCell ref="D84:D85"/>
    <mergeCell ref="AK84:AK85"/>
    <mergeCell ref="AL84:AL85"/>
    <mergeCell ref="AM84:AM85"/>
    <mergeCell ref="B86:B87"/>
    <mergeCell ref="B79:AM79"/>
    <mergeCell ref="B80:AM80"/>
    <mergeCell ref="B81:C81"/>
    <mergeCell ref="B82:B83"/>
    <mergeCell ref="D82:D83"/>
    <mergeCell ref="AK82:AK83"/>
    <mergeCell ref="AL82:AL83"/>
    <mergeCell ref="AM82:AM83"/>
    <mergeCell ref="B29:B30"/>
    <mergeCell ref="D29:D30"/>
    <mergeCell ref="AK29:AK30"/>
    <mergeCell ref="AL29:AL30"/>
    <mergeCell ref="AM29:AM30"/>
    <mergeCell ref="B31:B32"/>
    <mergeCell ref="B25:AM25"/>
    <mergeCell ref="B26:C26"/>
    <mergeCell ref="B27:B28"/>
    <mergeCell ref="D27:D28"/>
    <mergeCell ref="AK27:AK28"/>
    <mergeCell ref="AL27:AL28"/>
    <mergeCell ref="AM27:AM28"/>
    <mergeCell ref="B74:B75"/>
    <mergeCell ref="D74:D75"/>
    <mergeCell ref="AK74:AK75"/>
    <mergeCell ref="AL74:AL75"/>
    <mergeCell ref="AM74:AM75"/>
    <mergeCell ref="B76:B77"/>
    <mergeCell ref="B70:AM70"/>
    <mergeCell ref="B71:C71"/>
    <mergeCell ref="B72:B73"/>
    <mergeCell ref="D72:D73"/>
    <mergeCell ref="AK72:AK73"/>
    <mergeCell ref="AL72:AL73"/>
    <mergeCell ref="AM72:AM73"/>
    <mergeCell ref="B65:B66"/>
    <mergeCell ref="D65:D66"/>
    <mergeCell ref="AK65:AK66"/>
    <mergeCell ref="AL65:AL66"/>
    <mergeCell ref="AM65:AM66"/>
    <mergeCell ref="B67:B68"/>
    <mergeCell ref="B61:AM61"/>
    <mergeCell ref="B62:C62"/>
    <mergeCell ref="B63:B64"/>
    <mergeCell ref="D63:D64"/>
    <mergeCell ref="AK63:AK64"/>
    <mergeCell ref="AL63:AL64"/>
    <mergeCell ref="AM63:AM64"/>
    <mergeCell ref="B56:B57"/>
    <mergeCell ref="D56:D57"/>
    <mergeCell ref="AK56:AK57"/>
    <mergeCell ref="AL56:AL57"/>
    <mergeCell ref="AM56:AM57"/>
    <mergeCell ref="B58:B59"/>
    <mergeCell ref="B52:AM52"/>
    <mergeCell ref="B53:C53"/>
    <mergeCell ref="B54:B55"/>
    <mergeCell ref="D54:D55"/>
    <mergeCell ref="AK54:AK55"/>
    <mergeCell ref="AL54:AL55"/>
    <mergeCell ref="AM54:AM55"/>
    <mergeCell ref="B47:B48"/>
    <mergeCell ref="D47:D48"/>
    <mergeCell ref="AK47:AK48"/>
    <mergeCell ref="AL47:AL48"/>
    <mergeCell ref="AM47:AM48"/>
    <mergeCell ref="B49:B50"/>
    <mergeCell ref="B43:AM43"/>
    <mergeCell ref="B44:C44"/>
    <mergeCell ref="B45:B46"/>
    <mergeCell ref="D45:D46"/>
    <mergeCell ref="AK45:AK46"/>
    <mergeCell ref="AL45:AL46"/>
    <mergeCell ref="AM45:AM46"/>
    <mergeCell ref="B20:B21"/>
    <mergeCell ref="D20:D21"/>
    <mergeCell ref="AK20:AK21"/>
    <mergeCell ref="AL20:AL21"/>
    <mergeCell ref="AM20:AM21"/>
    <mergeCell ref="B22:B23"/>
    <mergeCell ref="B16:AM16"/>
    <mergeCell ref="B17:C17"/>
    <mergeCell ref="B18:B19"/>
    <mergeCell ref="D18:D19"/>
    <mergeCell ref="AK18:AK19"/>
    <mergeCell ref="AL18:AL19"/>
    <mergeCell ref="AM18:AM19"/>
    <mergeCell ref="B11:B12"/>
    <mergeCell ref="D11:D12"/>
    <mergeCell ref="AK11:AK12"/>
    <mergeCell ref="AL11:AL12"/>
    <mergeCell ref="AM11:AM12"/>
    <mergeCell ref="B13:B14"/>
    <mergeCell ref="B7:AM7"/>
    <mergeCell ref="B8:C8"/>
    <mergeCell ref="B9:B10"/>
    <mergeCell ref="D9:D10"/>
    <mergeCell ref="AK9:AK10"/>
    <mergeCell ref="AL9:AL10"/>
    <mergeCell ref="AM9:AM10"/>
    <mergeCell ref="O2:Z2"/>
    <mergeCell ref="AH2:AM2"/>
    <mergeCell ref="B3:AM3"/>
    <mergeCell ref="B4:D4"/>
    <mergeCell ref="E4:E6"/>
    <mergeCell ref="F4:AM4"/>
    <mergeCell ref="B5:D5"/>
    <mergeCell ref="AK5:AM5"/>
    <mergeCell ref="B6:D6"/>
    <mergeCell ref="B40:B41"/>
    <mergeCell ref="B34:AM34"/>
    <mergeCell ref="B35:C35"/>
    <mergeCell ref="B36:B37"/>
    <mergeCell ref="D36:D37"/>
    <mergeCell ref="AK36:AK37"/>
    <mergeCell ref="AL36:AL37"/>
    <mergeCell ref="AM36:AM37"/>
    <mergeCell ref="B38:B39"/>
    <mergeCell ref="D38:D39"/>
    <mergeCell ref="AK38:AK39"/>
    <mergeCell ref="AL38:AL39"/>
    <mergeCell ref="AM38:AM39"/>
  </mergeCells>
  <pageMargins left="0.70866099999999987" right="0.70866099999999987" top="0.748031" bottom="0.748031" header="0.31496099999999999" footer="0.31496099999999999"/>
  <pageSetup paperSize="9" scale="2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20E1-8101-4F3D-A8FB-6B45B482CE92}">
  <sheetPr published="0">
    <pageSetUpPr fitToPage="1"/>
  </sheetPr>
  <dimension ref="A2:BR118"/>
  <sheetViews>
    <sheetView tabSelected="1" topLeftCell="B1" zoomScale="55" zoomScaleNormal="55" workbookViewId="0">
      <pane ySplit="6" topLeftCell="A7" activePane="bottomLeft" state="frozen"/>
      <selection activeCell="L60" activeCellId="1" sqref="L14 L60"/>
      <selection pane="bottomLeft" activeCell="AE48" sqref="AE48"/>
    </sheetView>
  </sheetViews>
  <sheetFormatPr defaultRowHeight="15" customHeight="1" x14ac:dyDescent="0.25"/>
  <cols>
    <col min="1" max="1" width="10.5703125" style="21" hidden="1" customWidth="1"/>
    <col min="2" max="2" width="9.42578125" style="21" customWidth="1"/>
    <col min="3" max="3" width="14.140625" style="21" customWidth="1"/>
    <col min="4" max="4" width="7.140625" style="21" customWidth="1"/>
    <col min="5" max="5" width="10.85546875" style="21" customWidth="1"/>
    <col min="6" max="10" width="10.28515625" style="21" customWidth="1"/>
    <col min="11" max="11" width="11.5703125" style="21" customWidth="1"/>
    <col min="12" max="34" width="10.28515625" style="21" customWidth="1"/>
    <col min="35" max="37" width="10.5703125" style="21" customWidth="1"/>
    <col min="38" max="38" width="10.7109375" style="21" customWidth="1"/>
    <col min="39" max="39" width="11.7109375" style="21" customWidth="1"/>
    <col min="40" max="40" width="10.5703125" style="21" customWidth="1"/>
    <col min="41" max="16384" width="9.140625" style="21"/>
  </cols>
  <sheetData>
    <row r="2" spans="1:70" s="1" customFormat="1" ht="30" customHeigh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3"/>
      <c r="AB2" s="3"/>
      <c r="AC2" s="3"/>
      <c r="AD2" s="3"/>
      <c r="AE2" s="3"/>
      <c r="AF2" s="3"/>
      <c r="AG2" s="3"/>
      <c r="AH2" s="118" t="s">
        <v>98</v>
      </c>
      <c r="AI2" s="118"/>
      <c r="AJ2" s="118"/>
      <c r="AK2" s="118"/>
      <c r="AL2" s="118"/>
      <c r="AM2" s="118"/>
      <c r="AN2" s="4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3"/>
      <c r="BO2" s="3"/>
      <c r="BP2" s="3"/>
      <c r="BQ2" s="3"/>
      <c r="BR2" s="3"/>
    </row>
    <row r="3" spans="1:70" s="1" customFormat="1" ht="30" customHeight="1" thickBot="1" x14ac:dyDescent="0.3">
      <c r="A3" s="6" t="s">
        <v>1</v>
      </c>
      <c r="B3" s="119" t="s">
        <v>2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7"/>
    </row>
    <row r="4" spans="1:70" s="1" customFormat="1" ht="30" customHeight="1" thickBot="1" x14ac:dyDescent="0.3">
      <c r="A4" s="8"/>
      <c r="B4" s="120" t="s">
        <v>3</v>
      </c>
      <c r="C4" s="121"/>
      <c r="D4" s="122"/>
      <c r="E4" s="123" t="s">
        <v>4</v>
      </c>
      <c r="F4" s="126" t="s">
        <v>96</v>
      </c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7"/>
      <c r="AN4" s="9"/>
    </row>
    <row r="5" spans="1:70" s="10" customFormat="1" ht="15" customHeight="1" x14ac:dyDescent="0.25">
      <c r="A5" s="11"/>
      <c r="B5" s="128" t="s">
        <v>6</v>
      </c>
      <c r="C5" s="129"/>
      <c r="D5" s="130"/>
      <c r="E5" s="124"/>
      <c r="F5" s="12">
        <v>1</v>
      </c>
      <c r="G5" s="13">
        <v>2</v>
      </c>
      <c r="H5" s="13">
        <v>3</v>
      </c>
      <c r="I5" s="13">
        <v>4</v>
      </c>
      <c r="J5" s="13">
        <v>5</v>
      </c>
      <c r="K5" s="13">
        <v>6</v>
      </c>
      <c r="L5" s="13">
        <v>7</v>
      </c>
      <c r="M5" s="13">
        <v>8</v>
      </c>
      <c r="N5" s="13">
        <v>9</v>
      </c>
      <c r="O5" s="13">
        <v>10</v>
      </c>
      <c r="P5" s="13">
        <v>11</v>
      </c>
      <c r="Q5" s="13">
        <v>12</v>
      </c>
      <c r="R5" s="13">
        <v>13</v>
      </c>
      <c r="S5" s="13">
        <v>14</v>
      </c>
      <c r="T5" s="13">
        <v>15</v>
      </c>
      <c r="U5" s="13">
        <v>16</v>
      </c>
      <c r="V5" s="13">
        <v>17</v>
      </c>
      <c r="W5" s="13">
        <v>18</v>
      </c>
      <c r="X5" s="13">
        <v>19</v>
      </c>
      <c r="Y5" s="13">
        <v>20</v>
      </c>
      <c r="Z5" s="13">
        <v>21</v>
      </c>
      <c r="AA5" s="13">
        <v>22</v>
      </c>
      <c r="AB5" s="13">
        <v>23</v>
      </c>
      <c r="AC5" s="13">
        <v>24</v>
      </c>
      <c r="AD5" s="13">
        <v>25</v>
      </c>
      <c r="AE5" s="13">
        <v>26</v>
      </c>
      <c r="AF5" s="13">
        <v>27</v>
      </c>
      <c r="AG5" s="14">
        <v>28</v>
      </c>
      <c r="AH5" s="13">
        <v>29</v>
      </c>
      <c r="AI5" s="14">
        <v>30</v>
      </c>
      <c r="AJ5" s="14">
        <v>31</v>
      </c>
      <c r="AK5" s="131" t="s">
        <v>7</v>
      </c>
      <c r="AL5" s="131"/>
      <c r="AM5" s="132"/>
      <c r="AN5" s="15"/>
    </row>
    <row r="6" spans="1:70" s="10" customFormat="1" ht="19.5" thickBot="1" x14ac:dyDescent="0.3">
      <c r="A6" s="16"/>
      <c r="B6" s="133" t="s">
        <v>8</v>
      </c>
      <c r="C6" s="134"/>
      <c r="D6" s="135"/>
      <c r="E6" s="125"/>
      <c r="F6" s="17" t="s">
        <v>14</v>
      </c>
      <c r="G6" s="17" t="s">
        <v>15</v>
      </c>
      <c r="H6" s="17" t="s">
        <v>9</v>
      </c>
      <c r="I6" s="17" t="s">
        <v>10</v>
      </c>
      <c r="J6" s="17" t="s">
        <v>11</v>
      </c>
      <c r="K6" s="17" t="s">
        <v>12</v>
      </c>
      <c r="L6" s="17" t="s">
        <v>13</v>
      </c>
      <c r="M6" s="17" t="s">
        <v>14</v>
      </c>
      <c r="N6" s="17" t="s">
        <v>15</v>
      </c>
      <c r="O6" s="17" t="s">
        <v>9</v>
      </c>
      <c r="P6" s="17" t="s">
        <v>10</v>
      </c>
      <c r="Q6" s="17" t="s">
        <v>11</v>
      </c>
      <c r="R6" s="17" t="s">
        <v>12</v>
      </c>
      <c r="S6" s="17" t="s">
        <v>13</v>
      </c>
      <c r="T6" s="17" t="s">
        <v>14</v>
      </c>
      <c r="U6" s="17" t="s">
        <v>15</v>
      </c>
      <c r="V6" s="17" t="s">
        <v>9</v>
      </c>
      <c r="W6" s="17" t="s">
        <v>10</v>
      </c>
      <c r="X6" s="17" t="s">
        <v>11</v>
      </c>
      <c r="Y6" s="17" t="s">
        <v>12</v>
      </c>
      <c r="Z6" s="17" t="s">
        <v>13</v>
      </c>
      <c r="AA6" s="17" t="s">
        <v>14</v>
      </c>
      <c r="AB6" s="17" t="s">
        <v>15</v>
      </c>
      <c r="AC6" s="17" t="s">
        <v>9</v>
      </c>
      <c r="AD6" s="17" t="s">
        <v>10</v>
      </c>
      <c r="AE6" s="17" t="s">
        <v>11</v>
      </c>
      <c r="AF6" s="17" t="s">
        <v>12</v>
      </c>
      <c r="AG6" s="17" t="s">
        <v>13</v>
      </c>
      <c r="AH6" s="17" t="s">
        <v>14</v>
      </c>
      <c r="AI6" s="17" t="s">
        <v>15</v>
      </c>
      <c r="AJ6" s="17" t="s">
        <v>9</v>
      </c>
      <c r="AK6" s="18" t="s">
        <v>16</v>
      </c>
      <c r="AL6" s="19" t="s">
        <v>17</v>
      </c>
      <c r="AM6" s="20" t="s">
        <v>18</v>
      </c>
      <c r="AN6" s="15"/>
    </row>
    <row r="7" spans="1:70" ht="33" customHeight="1" thickBot="1" x14ac:dyDescent="0.3">
      <c r="B7" s="110" t="s">
        <v>19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2"/>
    </row>
    <row r="8" spans="1:70" ht="15.75" x14ac:dyDescent="0.25">
      <c r="B8" s="115" t="s">
        <v>20</v>
      </c>
      <c r="C8" s="116"/>
      <c r="D8" s="22"/>
      <c r="E8" s="23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5"/>
      <c r="AL8" s="26"/>
      <c r="AM8" s="27"/>
    </row>
    <row r="9" spans="1:70" ht="15.75" x14ac:dyDescent="0.25">
      <c r="B9" s="102" t="s">
        <v>21</v>
      </c>
      <c r="C9" s="28" t="s">
        <v>17</v>
      </c>
      <c r="D9" s="103" t="s">
        <v>22</v>
      </c>
      <c r="E9" s="30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104">
        <f>SUM(F10:AJ10)</f>
        <v>0</v>
      </c>
      <c r="AL9" s="106">
        <f>SUM(F9:AJ9)</f>
        <v>0</v>
      </c>
      <c r="AM9" s="108" t="e">
        <f>AK9/AL9*100</f>
        <v>#DIV/0!</v>
      </c>
      <c r="AO9" s="60"/>
    </row>
    <row r="10" spans="1:70" ht="18.75" x14ac:dyDescent="0.25">
      <c r="B10" s="102"/>
      <c r="C10" s="28" t="s">
        <v>16</v>
      </c>
      <c r="D10" s="103"/>
      <c r="E10" s="34">
        <f>26490+AK9</f>
        <v>26490</v>
      </c>
      <c r="F10" s="35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105"/>
      <c r="AL10" s="107"/>
      <c r="AM10" s="109"/>
    </row>
    <row r="11" spans="1:70" ht="15.75" x14ac:dyDescent="0.25">
      <c r="B11" s="102" t="s">
        <v>23</v>
      </c>
      <c r="C11" s="28" t="s">
        <v>17</v>
      </c>
      <c r="D11" s="103" t="s">
        <v>22</v>
      </c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04">
        <f>SUM(F12:AJ12)</f>
        <v>0</v>
      </c>
      <c r="AL11" s="106">
        <f>SUM(F11:AJ11)</f>
        <v>0</v>
      </c>
      <c r="AM11" s="108" t="e">
        <f>AK11/AL11*100</f>
        <v>#DIV/0!</v>
      </c>
      <c r="AO11" s="60"/>
    </row>
    <row r="12" spans="1:70" ht="18.75" x14ac:dyDescent="0.25">
      <c r="B12" s="102"/>
      <c r="C12" s="28" t="s">
        <v>16</v>
      </c>
      <c r="D12" s="103"/>
      <c r="E12" s="34">
        <f>19710+AK11</f>
        <v>19710</v>
      </c>
      <c r="F12" s="37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6"/>
      <c r="AB12" s="38"/>
      <c r="AC12" s="38"/>
      <c r="AD12" s="38"/>
      <c r="AE12" s="38"/>
      <c r="AF12" s="38"/>
      <c r="AG12" s="38"/>
      <c r="AH12" s="38"/>
      <c r="AI12" s="38"/>
      <c r="AJ12" s="38"/>
      <c r="AK12" s="105"/>
      <c r="AL12" s="107"/>
      <c r="AM12" s="109"/>
    </row>
    <row r="13" spans="1:70" ht="32.25" thickBot="1" x14ac:dyDescent="0.3">
      <c r="B13" s="101" t="s">
        <v>24</v>
      </c>
      <c r="C13" s="39" t="s">
        <v>25</v>
      </c>
      <c r="D13" s="95" t="s">
        <v>22</v>
      </c>
      <c r="E13" s="40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>
        <f>AK9+AK11</f>
        <v>0</v>
      </c>
      <c r="AL13" s="42">
        <f>AL9+AL11</f>
        <v>0</v>
      </c>
      <c r="AM13" s="97" t="e">
        <f t="shared" ref="AM13:AM96" si="0">AK13/AL13*100</f>
        <v>#DIV/0!</v>
      </c>
    </row>
    <row r="14" spans="1:70" ht="32.25" thickBot="1" x14ac:dyDescent="0.3">
      <c r="B14" s="101"/>
      <c r="C14" s="39" t="s">
        <v>26</v>
      </c>
      <c r="D14" s="95" t="s">
        <v>22</v>
      </c>
      <c r="E14" s="43">
        <f>E10+E12</f>
        <v>46200</v>
      </c>
      <c r="F14" s="44">
        <f>+F12+F10</f>
        <v>0</v>
      </c>
      <c r="G14" s="45">
        <f>+G12+G10</f>
        <v>0</v>
      </c>
      <c r="H14" s="45">
        <f t="shared" ref="H14:AJ59" si="1">+H12+H10</f>
        <v>0</v>
      </c>
      <c r="I14" s="45">
        <f t="shared" si="1"/>
        <v>0</v>
      </c>
      <c r="J14" s="45">
        <f t="shared" si="1"/>
        <v>0</v>
      </c>
      <c r="K14" s="45">
        <f t="shared" si="1"/>
        <v>0</v>
      </c>
      <c r="L14" s="45">
        <f t="shared" si="1"/>
        <v>0</v>
      </c>
      <c r="M14" s="45">
        <f t="shared" si="1"/>
        <v>0</v>
      </c>
      <c r="N14" s="45">
        <f t="shared" si="1"/>
        <v>0</v>
      </c>
      <c r="O14" s="45">
        <f t="shared" si="1"/>
        <v>0</v>
      </c>
      <c r="P14" s="45">
        <f t="shared" si="1"/>
        <v>0</v>
      </c>
      <c r="Q14" s="45">
        <f t="shared" si="1"/>
        <v>0</v>
      </c>
      <c r="R14" s="45">
        <f t="shared" si="1"/>
        <v>0</v>
      </c>
      <c r="S14" s="45">
        <f>+S12+S10</f>
        <v>0</v>
      </c>
      <c r="T14" s="45">
        <f t="shared" si="1"/>
        <v>0</v>
      </c>
      <c r="U14" s="45">
        <f t="shared" si="1"/>
        <v>0</v>
      </c>
      <c r="V14" s="45">
        <f t="shared" si="1"/>
        <v>0</v>
      </c>
      <c r="W14" s="45">
        <f t="shared" si="1"/>
        <v>0</v>
      </c>
      <c r="X14" s="45">
        <f t="shared" si="1"/>
        <v>0</v>
      </c>
      <c r="Y14" s="45">
        <f t="shared" si="1"/>
        <v>0</v>
      </c>
      <c r="Z14" s="45">
        <f t="shared" si="1"/>
        <v>0</v>
      </c>
      <c r="AA14" s="45">
        <f t="shared" si="1"/>
        <v>0</v>
      </c>
      <c r="AB14" s="45">
        <f t="shared" si="1"/>
        <v>0</v>
      </c>
      <c r="AC14" s="45">
        <f t="shared" si="1"/>
        <v>0</v>
      </c>
      <c r="AD14" s="45">
        <f t="shared" si="1"/>
        <v>0</v>
      </c>
      <c r="AE14" s="45">
        <f t="shared" si="1"/>
        <v>0</v>
      </c>
      <c r="AF14" s="45">
        <f t="shared" si="1"/>
        <v>0</v>
      </c>
      <c r="AG14" s="45">
        <f t="shared" si="1"/>
        <v>0</v>
      </c>
      <c r="AH14" s="45">
        <f t="shared" si="1"/>
        <v>0</v>
      </c>
      <c r="AI14" s="45">
        <f t="shared" si="1"/>
        <v>0</v>
      </c>
      <c r="AJ14" s="45">
        <f t="shared" si="1"/>
        <v>0</v>
      </c>
      <c r="AK14" s="46">
        <f>SUM(F14:AJ14)</f>
        <v>0</v>
      </c>
      <c r="AL14" s="47">
        <f>AL13</f>
        <v>0</v>
      </c>
      <c r="AM14" s="48" t="e">
        <f t="shared" si="0"/>
        <v>#DIV/0!</v>
      </c>
      <c r="AN14" s="49"/>
    </row>
    <row r="15" spans="1:70" ht="16.5" thickBot="1" x14ac:dyDescent="0.3">
      <c r="B15" s="50" t="s">
        <v>18</v>
      </c>
      <c r="C15" s="51" t="s">
        <v>27</v>
      </c>
      <c r="D15" s="52" t="s">
        <v>22</v>
      </c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5"/>
      <c r="AL15" s="56"/>
      <c r="AM15" s="57"/>
    </row>
    <row r="16" spans="1:70" ht="32.25" customHeight="1" thickBot="1" x14ac:dyDescent="0.3">
      <c r="B16" s="110" t="s">
        <v>87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2"/>
    </row>
    <row r="17" spans="2:41" ht="15.75" x14ac:dyDescent="0.25">
      <c r="B17" s="115" t="s">
        <v>20</v>
      </c>
      <c r="C17" s="116"/>
      <c r="D17" s="22"/>
      <c r="E17" s="23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5"/>
      <c r="AL17" s="26"/>
      <c r="AM17" s="27"/>
    </row>
    <row r="18" spans="2:41" ht="15.75" x14ac:dyDescent="0.25">
      <c r="B18" s="102" t="s">
        <v>21</v>
      </c>
      <c r="C18" s="28" t="s">
        <v>17</v>
      </c>
      <c r="D18" s="103" t="s">
        <v>22</v>
      </c>
      <c r="E18" s="30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04">
        <f>SUM(F19:AJ19)</f>
        <v>1400</v>
      </c>
      <c r="AL18" s="106">
        <f>SUM(F18:AJ18)</f>
        <v>0</v>
      </c>
      <c r="AM18" s="108" t="e">
        <f t="shared" ref="AM18" si="2">AK18/AL18*100</f>
        <v>#DIV/0!</v>
      </c>
      <c r="AO18" s="60"/>
    </row>
    <row r="19" spans="2:41" ht="18.75" x14ac:dyDescent="0.25">
      <c r="B19" s="102"/>
      <c r="C19" s="28" t="s">
        <v>16</v>
      </c>
      <c r="D19" s="103"/>
      <c r="E19" s="34">
        <f>4080+AK18</f>
        <v>5480</v>
      </c>
      <c r="F19" s="36"/>
      <c r="G19" s="36"/>
      <c r="H19" s="36"/>
      <c r="I19" s="36"/>
      <c r="J19" s="36"/>
      <c r="K19" s="36"/>
      <c r="L19" s="36"/>
      <c r="M19" s="38">
        <v>280</v>
      </c>
      <c r="N19" s="36">
        <v>200</v>
      </c>
      <c r="O19" s="36"/>
      <c r="P19" s="36">
        <v>180</v>
      </c>
      <c r="Q19" s="36"/>
      <c r="R19" s="36"/>
      <c r="S19" s="36">
        <v>160</v>
      </c>
      <c r="T19" s="36"/>
      <c r="U19" s="36"/>
      <c r="V19" s="36">
        <f>170+110</f>
        <v>280</v>
      </c>
      <c r="W19" s="36">
        <v>100</v>
      </c>
      <c r="X19" s="36">
        <v>200</v>
      </c>
      <c r="Y19" s="36"/>
      <c r="Z19" s="36"/>
      <c r="AA19" s="36"/>
      <c r="AB19" s="36"/>
      <c r="AC19" s="38"/>
      <c r="AD19" s="36"/>
      <c r="AE19" s="36"/>
      <c r="AF19" s="36"/>
      <c r="AG19" s="36"/>
      <c r="AH19" s="36"/>
      <c r="AI19" s="36"/>
      <c r="AJ19" s="36"/>
      <c r="AK19" s="105"/>
      <c r="AL19" s="107"/>
      <c r="AM19" s="109"/>
    </row>
    <row r="20" spans="2:41" ht="15.75" x14ac:dyDescent="0.25">
      <c r="B20" s="102" t="s">
        <v>23</v>
      </c>
      <c r="C20" s="28" t="s">
        <v>17</v>
      </c>
      <c r="D20" s="103" t="s">
        <v>22</v>
      </c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04">
        <f>SUM(F21:AJ21)</f>
        <v>1720</v>
      </c>
      <c r="AL20" s="106">
        <f>SUM(F20:AJ20)</f>
        <v>0</v>
      </c>
      <c r="AM20" s="108" t="e">
        <f t="shared" ref="AM20" si="3">AK20/AL20*100</f>
        <v>#DIV/0!</v>
      </c>
      <c r="AO20" s="60"/>
    </row>
    <row r="21" spans="2:41" ht="18.75" x14ac:dyDescent="0.25">
      <c r="B21" s="102"/>
      <c r="C21" s="28" t="s">
        <v>16</v>
      </c>
      <c r="D21" s="103"/>
      <c r="E21" s="34">
        <f>7620+AK20</f>
        <v>9340</v>
      </c>
      <c r="F21" s="37"/>
      <c r="G21" s="38">
        <v>320</v>
      </c>
      <c r="H21" s="38"/>
      <c r="I21" s="38"/>
      <c r="J21" s="38">
        <v>100</v>
      </c>
      <c r="K21" s="38">
        <v>60</v>
      </c>
      <c r="L21" s="38">
        <v>140</v>
      </c>
      <c r="M21" s="38">
        <v>370</v>
      </c>
      <c r="N21" s="38">
        <v>140</v>
      </c>
      <c r="O21" s="38">
        <v>510</v>
      </c>
      <c r="P21" s="38"/>
      <c r="Q21" s="38">
        <v>80</v>
      </c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105"/>
      <c r="AL21" s="107"/>
      <c r="AM21" s="109"/>
    </row>
    <row r="22" spans="2:41" ht="32.25" thickBot="1" x14ac:dyDescent="0.3">
      <c r="B22" s="101" t="s">
        <v>24</v>
      </c>
      <c r="C22" s="39" t="s">
        <v>25</v>
      </c>
      <c r="D22" s="95" t="s">
        <v>22</v>
      </c>
      <c r="E22" s="40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>
        <f>AK18+AK20</f>
        <v>3120</v>
      </c>
      <c r="AL22" s="42">
        <f>AL18+AL20</f>
        <v>0</v>
      </c>
      <c r="AM22" s="97" t="e">
        <f t="shared" ref="AM22:AM23" si="4">AK22/AL22*100</f>
        <v>#DIV/0!</v>
      </c>
    </row>
    <row r="23" spans="2:41" ht="32.25" thickBot="1" x14ac:dyDescent="0.3">
      <c r="B23" s="101"/>
      <c r="C23" s="39" t="s">
        <v>26</v>
      </c>
      <c r="D23" s="95" t="s">
        <v>22</v>
      </c>
      <c r="E23" s="43">
        <f>E19+E21</f>
        <v>14820</v>
      </c>
      <c r="F23" s="44">
        <f>+F21+F19</f>
        <v>0</v>
      </c>
      <c r="G23" s="45">
        <f>+G21+G19</f>
        <v>320</v>
      </c>
      <c r="H23" s="45">
        <f t="shared" ref="H23:AJ23" si="5">+H21+H19</f>
        <v>0</v>
      </c>
      <c r="I23" s="45">
        <f t="shared" si="5"/>
        <v>0</v>
      </c>
      <c r="J23" s="45">
        <f t="shared" si="5"/>
        <v>100</v>
      </c>
      <c r="K23" s="45">
        <f t="shared" si="5"/>
        <v>60</v>
      </c>
      <c r="L23" s="45">
        <f t="shared" si="5"/>
        <v>140</v>
      </c>
      <c r="M23" s="45">
        <f t="shared" si="5"/>
        <v>650</v>
      </c>
      <c r="N23" s="45">
        <f t="shared" si="5"/>
        <v>340</v>
      </c>
      <c r="O23" s="45">
        <f t="shared" si="5"/>
        <v>510</v>
      </c>
      <c r="P23" s="45">
        <f t="shared" si="5"/>
        <v>180</v>
      </c>
      <c r="Q23" s="45">
        <f t="shared" si="5"/>
        <v>80</v>
      </c>
      <c r="R23" s="45">
        <f t="shared" si="5"/>
        <v>0</v>
      </c>
      <c r="S23" s="45">
        <f t="shared" si="5"/>
        <v>160</v>
      </c>
      <c r="T23" s="45">
        <f t="shared" si="5"/>
        <v>0</v>
      </c>
      <c r="U23" s="45">
        <f t="shared" si="5"/>
        <v>0</v>
      </c>
      <c r="V23" s="45">
        <f t="shared" si="5"/>
        <v>280</v>
      </c>
      <c r="W23" s="45">
        <f t="shared" si="5"/>
        <v>100</v>
      </c>
      <c r="X23" s="45">
        <f t="shared" si="5"/>
        <v>200</v>
      </c>
      <c r="Y23" s="45">
        <f t="shared" si="5"/>
        <v>0</v>
      </c>
      <c r="Z23" s="45">
        <f t="shared" si="5"/>
        <v>0</v>
      </c>
      <c r="AA23" s="45">
        <f t="shared" si="5"/>
        <v>0</v>
      </c>
      <c r="AB23" s="45">
        <f t="shared" si="5"/>
        <v>0</v>
      </c>
      <c r="AC23" s="45">
        <f t="shared" si="5"/>
        <v>0</v>
      </c>
      <c r="AD23" s="45">
        <f t="shared" si="5"/>
        <v>0</v>
      </c>
      <c r="AE23" s="45">
        <f t="shared" si="5"/>
        <v>0</v>
      </c>
      <c r="AF23" s="45">
        <f t="shared" si="5"/>
        <v>0</v>
      </c>
      <c r="AG23" s="45">
        <f t="shared" si="5"/>
        <v>0</v>
      </c>
      <c r="AH23" s="45">
        <f t="shared" si="5"/>
        <v>0</v>
      </c>
      <c r="AI23" s="45">
        <f t="shared" si="5"/>
        <v>0</v>
      </c>
      <c r="AJ23" s="45">
        <f t="shared" si="5"/>
        <v>0</v>
      </c>
      <c r="AK23" s="46">
        <f>SUM(F23:AJ23)</f>
        <v>3120</v>
      </c>
      <c r="AL23" s="47">
        <f>AL22</f>
        <v>0</v>
      </c>
      <c r="AM23" s="48" t="e">
        <f t="shared" si="4"/>
        <v>#DIV/0!</v>
      </c>
    </row>
    <row r="24" spans="2:41" ht="16.5" thickBot="1" x14ac:dyDescent="0.3">
      <c r="B24" s="50" t="s">
        <v>18</v>
      </c>
      <c r="C24" s="51" t="s">
        <v>27</v>
      </c>
      <c r="D24" s="52" t="s">
        <v>22</v>
      </c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5"/>
      <c r="AL24" s="56"/>
      <c r="AM24" s="57"/>
    </row>
    <row r="25" spans="2:41" ht="29.25" customHeight="1" thickBot="1" x14ac:dyDescent="0.3">
      <c r="B25" s="110" t="s">
        <v>34</v>
      </c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2"/>
    </row>
    <row r="26" spans="2:41" ht="15.75" x14ac:dyDescent="0.25">
      <c r="B26" s="115" t="s">
        <v>20</v>
      </c>
      <c r="C26" s="116"/>
      <c r="D26" s="22"/>
      <c r="E26" s="23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5"/>
      <c r="AL26" s="26"/>
      <c r="AM26" s="27"/>
    </row>
    <row r="27" spans="2:41" ht="15.75" x14ac:dyDescent="0.25">
      <c r="B27" s="102" t="s">
        <v>21</v>
      </c>
      <c r="C27" s="28" t="s">
        <v>17</v>
      </c>
      <c r="D27" s="103" t="s">
        <v>22</v>
      </c>
      <c r="E27" s="3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104">
        <f>SUM(F28:AJ28)</f>
        <v>842</v>
      </c>
      <c r="AL27" s="106">
        <f>SUM(F27:AJ27)</f>
        <v>0</v>
      </c>
      <c r="AM27" s="108" t="e">
        <f>AK27/AL27*100</f>
        <v>#DIV/0!</v>
      </c>
      <c r="AO27" s="60"/>
    </row>
    <row r="28" spans="2:41" ht="18.75" x14ac:dyDescent="0.25">
      <c r="B28" s="102"/>
      <c r="C28" s="28" t="s">
        <v>16</v>
      </c>
      <c r="D28" s="103"/>
      <c r="E28" s="34">
        <f>6710+AK27</f>
        <v>7552</v>
      </c>
      <c r="F28" s="35">
        <v>160</v>
      </c>
      <c r="G28" s="36"/>
      <c r="H28" s="36">
        <v>90</v>
      </c>
      <c r="I28" s="36"/>
      <c r="J28" s="38"/>
      <c r="K28" s="36"/>
      <c r="L28" s="36"/>
      <c r="M28" s="36"/>
      <c r="N28" s="36"/>
      <c r="O28" s="36"/>
      <c r="P28" s="36"/>
      <c r="Q28" s="36"/>
      <c r="R28" s="36"/>
      <c r="S28" s="36">
        <v>220</v>
      </c>
      <c r="T28" s="36"/>
      <c r="U28" s="36"/>
      <c r="V28" s="36">
        <f>60+144</f>
        <v>204</v>
      </c>
      <c r="W28" s="36">
        <v>168</v>
      </c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105"/>
      <c r="AL28" s="107"/>
      <c r="AM28" s="109"/>
    </row>
    <row r="29" spans="2:41" ht="15.75" x14ac:dyDescent="0.25">
      <c r="B29" s="102" t="s">
        <v>23</v>
      </c>
      <c r="C29" s="28" t="s">
        <v>17</v>
      </c>
      <c r="D29" s="103" t="s">
        <v>22</v>
      </c>
      <c r="E29" s="3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104">
        <f>SUM(F30:AJ30)</f>
        <v>1550</v>
      </c>
      <c r="AL29" s="106">
        <f>SUM(F29:AJ29)</f>
        <v>0</v>
      </c>
      <c r="AM29" s="108" t="e">
        <f>AK29/AL29*100</f>
        <v>#DIV/0!</v>
      </c>
      <c r="AO29" s="60"/>
    </row>
    <row r="30" spans="2:41" ht="18.75" x14ac:dyDescent="0.25">
      <c r="B30" s="102"/>
      <c r="C30" s="28" t="s">
        <v>16</v>
      </c>
      <c r="D30" s="103"/>
      <c r="E30" s="34">
        <f>8736+AK29</f>
        <v>10286</v>
      </c>
      <c r="F30" s="37"/>
      <c r="G30" s="38"/>
      <c r="H30" s="38"/>
      <c r="I30" s="38">
        <v>420</v>
      </c>
      <c r="J30" s="38">
        <v>320</v>
      </c>
      <c r="K30" s="38"/>
      <c r="L30" s="38"/>
      <c r="M30" s="38"/>
      <c r="N30" s="38"/>
      <c r="O30" s="38"/>
      <c r="P30" s="38"/>
      <c r="Q30" s="38"/>
      <c r="R30" s="38">
        <v>470</v>
      </c>
      <c r="S30" s="38"/>
      <c r="T30" s="38"/>
      <c r="U30" s="38"/>
      <c r="V30" s="38">
        <v>340</v>
      </c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105"/>
      <c r="AL30" s="107"/>
      <c r="AM30" s="109"/>
    </row>
    <row r="31" spans="2:41" ht="32.25" thickBot="1" x14ac:dyDescent="0.3">
      <c r="B31" s="101" t="s">
        <v>24</v>
      </c>
      <c r="C31" s="39" t="s">
        <v>25</v>
      </c>
      <c r="D31" s="95" t="s">
        <v>22</v>
      </c>
      <c r="E31" s="40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>
        <f>AK27+AK29</f>
        <v>2392</v>
      </c>
      <c r="AL31" s="42">
        <f>AL27+AL29</f>
        <v>0</v>
      </c>
      <c r="AM31" s="97" t="e">
        <f>AK31/AL31*100</f>
        <v>#DIV/0!</v>
      </c>
    </row>
    <row r="32" spans="2:41" ht="32.25" thickBot="1" x14ac:dyDescent="0.3">
      <c r="B32" s="101"/>
      <c r="C32" s="39" t="s">
        <v>26</v>
      </c>
      <c r="D32" s="95" t="s">
        <v>22</v>
      </c>
      <c r="E32" s="43">
        <f>+E30+E28</f>
        <v>17838</v>
      </c>
      <c r="F32" s="44">
        <f t="shared" ref="F32:AJ32" si="6">+F30+F28</f>
        <v>160</v>
      </c>
      <c r="G32" s="45">
        <f t="shared" si="6"/>
        <v>0</v>
      </c>
      <c r="H32" s="45">
        <f t="shared" si="6"/>
        <v>90</v>
      </c>
      <c r="I32" s="45">
        <f t="shared" si="6"/>
        <v>420</v>
      </c>
      <c r="J32" s="45">
        <f t="shared" si="6"/>
        <v>320</v>
      </c>
      <c r="K32" s="45">
        <f t="shared" si="6"/>
        <v>0</v>
      </c>
      <c r="L32" s="45">
        <f t="shared" si="6"/>
        <v>0</v>
      </c>
      <c r="M32" s="45">
        <f t="shared" si="6"/>
        <v>0</v>
      </c>
      <c r="N32" s="45">
        <f t="shared" si="6"/>
        <v>0</v>
      </c>
      <c r="O32" s="45">
        <f t="shared" si="6"/>
        <v>0</v>
      </c>
      <c r="P32" s="45">
        <f t="shared" si="6"/>
        <v>0</v>
      </c>
      <c r="Q32" s="45">
        <f t="shared" si="6"/>
        <v>0</v>
      </c>
      <c r="R32" s="45">
        <f t="shared" si="6"/>
        <v>470</v>
      </c>
      <c r="S32" s="45">
        <f t="shared" si="6"/>
        <v>220</v>
      </c>
      <c r="T32" s="45">
        <f t="shared" si="6"/>
        <v>0</v>
      </c>
      <c r="U32" s="45">
        <f t="shared" si="6"/>
        <v>0</v>
      </c>
      <c r="V32" s="45">
        <f t="shared" si="6"/>
        <v>544</v>
      </c>
      <c r="W32" s="45">
        <f t="shared" si="6"/>
        <v>168</v>
      </c>
      <c r="X32" s="45">
        <f t="shared" si="6"/>
        <v>0</v>
      </c>
      <c r="Y32" s="45">
        <f t="shared" si="6"/>
        <v>0</v>
      </c>
      <c r="Z32" s="45">
        <f t="shared" si="6"/>
        <v>0</v>
      </c>
      <c r="AA32" s="45">
        <f t="shared" si="6"/>
        <v>0</v>
      </c>
      <c r="AB32" s="45">
        <f t="shared" si="6"/>
        <v>0</v>
      </c>
      <c r="AC32" s="45">
        <f t="shared" si="6"/>
        <v>0</v>
      </c>
      <c r="AD32" s="45">
        <f t="shared" si="6"/>
        <v>0</v>
      </c>
      <c r="AE32" s="45">
        <f t="shared" si="6"/>
        <v>0</v>
      </c>
      <c r="AF32" s="45">
        <f t="shared" si="6"/>
        <v>0</v>
      </c>
      <c r="AG32" s="45">
        <f t="shared" si="6"/>
        <v>0</v>
      </c>
      <c r="AH32" s="45">
        <f t="shared" si="6"/>
        <v>0</v>
      </c>
      <c r="AI32" s="45">
        <f t="shared" si="6"/>
        <v>0</v>
      </c>
      <c r="AJ32" s="45">
        <f t="shared" si="6"/>
        <v>0</v>
      </c>
      <c r="AK32" s="46">
        <f>SUM(F32:AJ32)</f>
        <v>2392</v>
      </c>
      <c r="AL32" s="47">
        <f>AL31</f>
        <v>0</v>
      </c>
      <c r="AM32" s="48" t="e">
        <f>AK32/AL32*100</f>
        <v>#DIV/0!</v>
      </c>
    </row>
    <row r="33" spans="2:41" ht="16.5" thickBot="1" x14ac:dyDescent="0.3">
      <c r="B33" s="50" t="s">
        <v>18</v>
      </c>
      <c r="C33" s="51" t="s">
        <v>27</v>
      </c>
      <c r="D33" s="52" t="s">
        <v>22</v>
      </c>
      <c r="E33" s="53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5"/>
      <c r="AL33" s="56"/>
      <c r="AM33" s="57"/>
    </row>
    <row r="34" spans="2:41" ht="29.25" customHeight="1" thickBot="1" x14ac:dyDescent="0.3">
      <c r="B34" s="110" t="s">
        <v>93</v>
      </c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2"/>
    </row>
    <row r="35" spans="2:41" ht="15.75" x14ac:dyDescent="0.25">
      <c r="B35" s="115" t="s">
        <v>20</v>
      </c>
      <c r="C35" s="116"/>
      <c r="D35" s="22"/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5"/>
      <c r="AL35" s="26"/>
      <c r="AM35" s="27"/>
    </row>
    <row r="36" spans="2:41" ht="15.75" x14ac:dyDescent="0.25">
      <c r="B36" s="102" t="s">
        <v>21</v>
      </c>
      <c r="C36" s="28" t="s">
        <v>17</v>
      </c>
      <c r="D36" s="103" t="s">
        <v>94</v>
      </c>
      <c r="E36" s="30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104">
        <f>SUM(F37:AJ37)</f>
        <v>2410.8899999999994</v>
      </c>
      <c r="AL36" s="106">
        <f>SUM(F36:AJ36)</f>
        <v>0</v>
      </c>
      <c r="AM36" s="108" t="e">
        <f>AK36/AL36*100</f>
        <v>#DIV/0!</v>
      </c>
      <c r="AO36" s="60"/>
    </row>
    <row r="37" spans="2:41" ht="18.75" x14ac:dyDescent="0.25">
      <c r="B37" s="102"/>
      <c r="C37" s="28" t="s">
        <v>16</v>
      </c>
      <c r="D37" s="103"/>
      <c r="E37" s="34">
        <f>AK36+444</f>
        <v>2854.8899999999994</v>
      </c>
      <c r="F37" s="35">
        <v>194.25</v>
      </c>
      <c r="G37" s="36">
        <v>222.2</v>
      </c>
      <c r="H37" s="36">
        <v>305.33</v>
      </c>
      <c r="I37" s="36">
        <v>221.4</v>
      </c>
      <c r="J37" s="38"/>
      <c r="K37" s="36">
        <v>390.79</v>
      </c>
      <c r="L37" s="36">
        <v>280.56</v>
      </c>
      <c r="M37" s="36"/>
      <c r="N37" s="36"/>
      <c r="O37" s="36">
        <v>167.09</v>
      </c>
      <c r="P37" s="36">
        <v>166.62</v>
      </c>
      <c r="Q37" s="36">
        <v>250.81</v>
      </c>
      <c r="R37" s="36">
        <v>43.85</v>
      </c>
      <c r="S37" s="36">
        <v>167.99</v>
      </c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105"/>
      <c r="AL37" s="107"/>
      <c r="AM37" s="109"/>
    </row>
    <row r="38" spans="2:41" ht="15.75" x14ac:dyDescent="0.25">
      <c r="B38" s="102" t="s">
        <v>23</v>
      </c>
      <c r="C38" s="28" t="s">
        <v>17</v>
      </c>
      <c r="D38" s="103" t="s">
        <v>94</v>
      </c>
      <c r="E38" s="30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104">
        <f>SUM(F39:AJ39)</f>
        <v>0</v>
      </c>
      <c r="AL38" s="106">
        <f>SUM(F38:AJ38)</f>
        <v>0</v>
      </c>
      <c r="AM38" s="108" t="e">
        <f>AK38/AL38*100</f>
        <v>#DIV/0!</v>
      </c>
      <c r="AO38" s="60"/>
    </row>
    <row r="39" spans="2:41" ht="18.75" x14ac:dyDescent="0.25">
      <c r="B39" s="102"/>
      <c r="C39" s="28" t="s">
        <v>16</v>
      </c>
      <c r="D39" s="103"/>
      <c r="E39" s="34">
        <f>AK38</f>
        <v>0</v>
      </c>
      <c r="F39" s="37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105"/>
      <c r="AL39" s="107"/>
      <c r="AM39" s="109"/>
    </row>
    <row r="40" spans="2:41" ht="32.25" thickBot="1" x14ac:dyDescent="0.3">
      <c r="B40" s="101" t="s">
        <v>24</v>
      </c>
      <c r="C40" s="39" t="s">
        <v>25</v>
      </c>
      <c r="D40" s="95" t="s">
        <v>94</v>
      </c>
      <c r="E40" s="40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>
        <f>AK36+AK38</f>
        <v>2410.8899999999994</v>
      </c>
      <c r="AL40" s="42">
        <f>AL36+AL38</f>
        <v>0</v>
      </c>
      <c r="AM40" s="97" t="e">
        <f>AK40/AL40*100</f>
        <v>#DIV/0!</v>
      </c>
    </row>
    <row r="41" spans="2:41" ht="32.25" thickBot="1" x14ac:dyDescent="0.3">
      <c r="B41" s="101"/>
      <c r="C41" s="39" t="s">
        <v>26</v>
      </c>
      <c r="D41" s="95" t="s">
        <v>94</v>
      </c>
      <c r="E41" s="43">
        <f>E39+E37</f>
        <v>2854.8899999999994</v>
      </c>
      <c r="F41" s="44">
        <f t="shared" ref="F41:AJ41" si="7">+F39+F37</f>
        <v>194.25</v>
      </c>
      <c r="G41" s="45">
        <f t="shared" si="7"/>
        <v>222.2</v>
      </c>
      <c r="H41" s="45">
        <f t="shared" si="7"/>
        <v>305.33</v>
      </c>
      <c r="I41" s="45">
        <f t="shared" si="7"/>
        <v>221.4</v>
      </c>
      <c r="J41" s="45">
        <f t="shared" si="7"/>
        <v>0</v>
      </c>
      <c r="K41" s="45">
        <f t="shared" si="7"/>
        <v>390.79</v>
      </c>
      <c r="L41" s="45">
        <f t="shared" si="7"/>
        <v>280.56</v>
      </c>
      <c r="M41" s="45">
        <f t="shared" si="7"/>
        <v>0</v>
      </c>
      <c r="N41" s="45">
        <f t="shared" si="7"/>
        <v>0</v>
      </c>
      <c r="O41" s="45">
        <f t="shared" si="7"/>
        <v>167.09</v>
      </c>
      <c r="P41" s="45">
        <f t="shared" si="7"/>
        <v>166.62</v>
      </c>
      <c r="Q41" s="45">
        <f t="shared" si="7"/>
        <v>250.81</v>
      </c>
      <c r="R41" s="45">
        <f t="shared" si="7"/>
        <v>43.85</v>
      </c>
      <c r="S41" s="45">
        <f t="shared" si="7"/>
        <v>167.99</v>
      </c>
      <c r="T41" s="45">
        <f t="shared" si="7"/>
        <v>0</v>
      </c>
      <c r="U41" s="45">
        <f t="shared" si="7"/>
        <v>0</v>
      </c>
      <c r="V41" s="45">
        <f t="shared" si="7"/>
        <v>0</v>
      </c>
      <c r="W41" s="45">
        <f t="shared" si="7"/>
        <v>0</v>
      </c>
      <c r="X41" s="45">
        <f t="shared" si="7"/>
        <v>0</v>
      </c>
      <c r="Y41" s="45">
        <f t="shared" si="7"/>
        <v>0</v>
      </c>
      <c r="Z41" s="45">
        <f t="shared" si="7"/>
        <v>0</v>
      </c>
      <c r="AA41" s="45">
        <f t="shared" si="7"/>
        <v>0</v>
      </c>
      <c r="AB41" s="45">
        <f t="shared" si="7"/>
        <v>0</v>
      </c>
      <c r="AC41" s="45">
        <f t="shared" si="7"/>
        <v>0</v>
      </c>
      <c r="AD41" s="45">
        <f t="shared" si="7"/>
        <v>0</v>
      </c>
      <c r="AE41" s="45">
        <f t="shared" si="7"/>
        <v>0</v>
      </c>
      <c r="AF41" s="45">
        <f t="shared" si="7"/>
        <v>0</v>
      </c>
      <c r="AG41" s="45">
        <f t="shared" si="7"/>
        <v>0</v>
      </c>
      <c r="AH41" s="45">
        <f t="shared" si="7"/>
        <v>0</v>
      </c>
      <c r="AI41" s="45">
        <f t="shared" si="7"/>
        <v>0</v>
      </c>
      <c r="AJ41" s="45">
        <f t="shared" si="7"/>
        <v>0</v>
      </c>
      <c r="AK41" s="46">
        <f>SUM(F41:AJ41)</f>
        <v>2410.8899999999994</v>
      </c>
      <c r="AL41" s="47">
        <f>AL40</f>
        <v>0</v>
      </c>
      <c r="AM41" s="48" t="e">
        <f>AK41/AL41*100</f>
        <v>#DIV/0!</v>
      </c>
    </row>
    <row r="42" spans="2:41" ht="16.5" thickBot="1" x14ac:dyDescent="0.3">
      <c r="B42" s="50" t="s">
        <v>18</v>
      </c>
      <c r="C42" s="51" t="s">
        <v>27</v>
      </c>
      <c r="D42" s="52" t="s">
        <v>94</v>
      </c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5"/>
      <c r="AL42" s="56"/>
      <c r="AM42" s="57"/>
    </row>
    <row r="43" spans="2:41" ht="29.25" customHeight="1" thickBot="1" x14ac:dyDescent="0.3">
      <c r="B43" s="110" t="s">
        <v>97</v>
      </c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2"/>
    </row>
    <row r="44" spans="2:41" ht="15.75" x14ac:dyDescent="0.25">
      <c r="B44" s="115" t="s">
        <v>20</v>
      </c>
      <c r="C44" s="116"/>
      <c r="D44" s="22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5"/>
      <c r="AL44" s="26"/>
      <c r="AM44" s="27"/>
    </row>
    <row r="45" spans="2:41" ht="15.75" x14ac:dyDescent="0.25">
      <c r="B45" s="102" t="s">
        <v>21</v>
      </c>
      <c r="C45" s="28" t="s">
        <v>17</v>
      </c>
      <c r="D45" s="103" t="s">
        <v>94</v>
      </c>
      <c r="E45" s="30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104">
        <f>SUM(F46:AJ46)</f>
        <v>1560.56</v>
      </c>
      <c r="AL45" s="106">
        <f>SUM(F45:AJ45)</f>
        <v>0</v>
      </c>
      <c r="AM45" s="108" t="e">
        <f>AK45/AL45*100</f>
        <v>#DIV/0!</v>
      </c>
      <c r="AO45" s="60"/>
    </row>
    <row r="46" spans="2:41" ht="18.75" x14ac:dyDescent="0.25">
      <c r="B46" s="102"/>
      <c r="C46" s="28" t="s">
        <v>16</v>
      </c>
      <c r="D46" s="103"/>
      <c r="E46" s="34">
        <f>AK45</f>
        <v>1560.56</v>
      </c>
      <c r="F46" s="35"/>
      <c r="G46" s="36"/>
      <c r="H46" s="36"/>
      <c r="I46" s="36"/>
      <c r="J46" s="38"/>
      <c r="K46" s="36"/>
      <c r="L46" s="36"/>
      <c r="M46" s="36"/>
      <c r="N46" s="36"/>
      <c r="O46" s="36"/>
      <c r="P46" s="36"/>
      <c r="Q46" s="36"/>
      <c r="R46" s="36"/>
      <c r="S46" s="36"/>
      <c r="T46" s="36">
        <v>447.46</v>
      </c>
      <c r="U46" s="36"/>
      <c r="V46" s="36">
        <v>278.54000000000002</v>
      </c>
      <c r="W46" s="36">
        <v>360.3</v>
      </c>
      <c r="X46" s="36">
        <v>474.26</v>
      </c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105"/>
      <c r="AL46" s="107"/>
      <c r="AM46" s="109"/>
    </row>
    <row r="47" spans="2:41" ht="15.75" x14ac:dyDescent="0.25">
      <c r="B47" s="102" t="s">
        <v>23</v>
      </c>
      <c r="C47" s="28" t="s">
        <v>17</v>
      </c>
      <c r="D47" s="103" t="s">
        <v>94</v>
      </c>
      <c r="E47" s="30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104">
        <f>SUM(F48:AJ48)</f>
        <v>0</v>
      </c>
      <c r="AL47" s="106">
        <f>SUM(F47:AJ47)</f>
        <v>0</v>
      </c>
      <c r="AM47" s="108" t="e">
        <f>AK47/AL47*100</f>
        <v>#DIV/0!</v>
      </c>
      <c r="AO47" s="60"/>
    </row>
    <row r="48" spans="2:41" ht="18.75" x14ac:dyDescent="0.25">
      <c r="B48" s="102"/>
      <c r="C48" s="28" t="s">
        <v>16</v>
      </c>
      <c r="D48" s="103"/>
      <c r="E48" s="34">
        <f>AK47</f>
        <v>0</v>
      </c>
      <c r="F48" s="37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105"/>
      <c r="AL48" s="107"/>
      <c r="AM48" s="109"/>
    </row>
    <row r="49" spans="2:41" ht="32.25" thickBot="1" x14ac:dyDescent="0.3">
      <c r="B49" s="101" t="s">
        <v>24</v>
      </c>
      <c r="C49" s="39" t="s">
        <v>25</v>
      </c>
      <c r="D49" s="98" t="s">
        <v>94</v>
      </c>
      <c r="E49" s="40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>
        <f>AK45+AK47</f>
        <v>1560.56</v>
      </c>
      <c r="AL49" s="42">
        <f>AL45+AL47</f>
        <v>0</v>
      </c>
      <c r="AM49" s="100" t="e">
        <f>AK49/AL49*100</f>
        <v>#DIV/0!</v>
      </c>
    </row>
    <row r="50" spans="2:41" ht="32.25" thickBot="1" x14ac:dyDescent="0.3">
      <c r="B50" s="101"/>
      <c r="C50" s="39" t="s">
        <v>26</v>
      </c>
      <c r="D50" s="98" t="s">
        <v>94</v>
      </c>
      <c r="E50" s="43">
        <f>E48+E46</f>
        <v>1560.56</v>
      </c>
      <c r="F50" s="44">
        <f t="shared" ref="F50:AJ50" si="8">+F48+F46</f>
        <v>0</v>
      </c>
      <c r="G50" s="45">
        <f t="shared" si="8"/>
        <v>0</v>
      </c>
      <c r="H50" s="45">
        <f t="shared" si="8"/>
        <v>0</v>
      </c>
      <c r="I50" s="45">
        <f t="shared" si="8"/>
        <v>0</v>
      </c>
      <c r="J50" s="45">
        <f t="shared" si="8"/>
        <v>0</v>
      </c>
      <c r="K50" s="45">
        <f t="shared" si="8"/>
        <v>0</v>
      </c>
      <c r="L50" s="45">
        <f t="shared" si="8"/>
        <v>0</v>
      </c>
      <c r="M50" s="45">
        <f t="shared" si="8"/>
        <v>0</v>
      </c>
      <c r="N50" s="45">
        <f t="shared" si="8"/>
        <v>0</v>
      </c>
      <c r="O50" s="45">
        <f t="shared" si="8"/>
        <v>0</v>
      </c>
      <c r="P50" s="45">
        <f t="shared" si="8"/>
        <v>0</v>
      </c>
      <c r="Q50" s="45">
        <f t="shared" si="8"/>
        <v>0</v>
      </c>
      <c r="R50" s="45">
        <f t="shared" si="8"/>
        <v>0</v>
      </c>
      <c r="S50" s="45">
        <f t="shared" si="8"/>
        <v>0</v>
      </c>
      <c r="T50" s="45">
        <f t="shared" si="8"/>
        <v>447.46</v>
      </c>
      <c r="U50" s="45">
        <f t="shared" si="8"/>
        <v>0</v>
      </c>
      <c r="V50" s="45">
        <f t="shared" si="8"/>
        <v>278.54000000000002</v>
      </c>
      <c r="W50" s="45">
        <f t="shared" si="8"/>
        <v>360.3</v>
      </c>
      <c r="X50" s="45">
        <f t="shared" si="8"/>
        <v>474.26</v>
      </c>
      <c r="Y50" s="45">
        <f t="shared" si="8"/>
        <v>0</v>
      </c>
      <c r="Z50" s="45">
        <f t="shared" si="8"/>
        <v>0</v>
      </c>
      <c r="AA50" s="45">
        <f t="shared" si="8"/>
        <v>0</v>
      </c>
      <c r="AB50" s="45">
        <f t="shared" si="8"/>
        <v>0</v>
      </c>
      <c r="AC50" s="45">
        <f t="shared" si="8"/>
        <v>0</v>
      </c>
      <c r="AD50" s="45">
        <f t="shared" si="8"/>
        <v>0</v>
      </c>
      <c r="AE50" s="45">
        <f t="shared" si="8"/>
        <v>0</v>
      </c>
      <c r="AF50" s="45">
        <f t="shared" si="8"/>
        <v>0</v>
      </c>
      <c r="AG50" s="45">
        <f t="shared" si="8"/>
        <v>0</v>
      </c>
      <c r="AH50" s="45">
        <f t="shared" si="8"/>
        <v>0</v>
      </c>
      <c r="AI50" s="45">
        <f t="shared" si="8"/>
        <v>0</v>
      </c>
      <c r="AJ50" s="45">
        <f t="shared" si="8"/>
        <v>0</v>
      </c>
      <c r="AK50" s="46">
        <f>SUM(F50:AJ50)</f>
        <v>1560.56</v>
      </c>
      <c r="AL50" s="47">
        <f>AL49</f>
        <v>0</v>
      </c>
      <c r="AM50" s="48" t="e">
        <f>AK50/AL50*100</f>
        <v>#DIV/0!</v>
      </c>
    </row>
    <row r="51" spans="2:41" ht="16.5" thickBot="1" x14ac:dyDescent="0.3">
      <c r="B51" s="50" t="s">
        <v>18</v>
      </c>
      <c r="C51" s="51" t="s">
        <v>27</v>
      </c>
      <c r="D51" s="52" t="s">
        <v>94</v>
      </c>
      <c r="E51" s="53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5"/>
      <c r="AL51" s="56"/>
      <c r="AM51" s="57"/>
    </row>
    <row r="52" spans="2:41" ht="32.25" customHeight="1" thickBot="1" x14ac:dyDescent="0.3">
      <c r="B52" s="110" t="s">
        <v>28</v>
      </c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2"/>
    </row>
    <row r="53" spans="2:41" ht="15.75" x14ac:dyDescent="0.25">
      <c r="B53" s="115" t="s">
        <v>20</v>
      </c>
      <c r="C53" s="116"/>
      <c r="D53" s="22"/>
      <c r="E53" s="23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5"/>
      <c r="AL53" s="26"/>
      <c r="AM53" s="27"/>
    </row>
    <row r="54" spans="2:41" ht="15.75" x14ac:dyDescent="0.25">
      <c r="B54" s="102" t="s">
        <v>21</v>
      </c>
      <c r="C54" s="28" t="s">
        <v>17</v>
      </c>
      <c r="D54" s="103" t="s">
        <v>22</v>
      </c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104">
        <f>SUM(F55:AJ55)</f>
        <v>0</v>
      </c>
      <c r="AL54" s="106">
        <f>SUM(F54:AJ54)</f>
        <v>0</v>
      </c>
      <c r="AM54" s="108" t="e">
        <f t="shared" si="0"/>
        <v>#DIV/0!</v>
      </c>
      <c r="AO54" s="60"/>
    </row>
    <row r="55" spans="2:41" ht="18.75" x14ac:dyDescent="0.25">
      <c r="B55" s="102"/>
      <c r="C55" s="28" t="s">
        <v>16</v>
      </c>
      <c r="D55" s="103"/>
      <c r="E55" s="34">
        <f>9496+AK54</f>
        <v>9496</v>
      </c>
      <c r="F55" s="35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105"/>
      <c r="AL55" s="107"/>
      <c r="AM55" s="109"/>
    </row>
    <row r="56" spans="2:41" ht="15.75" x14ac:dyDescent="0.25">
      <c r="B56" s="102" t="s">
        <v>23</v>
      </c>
      <c r="C56" s="28" t="s">
        <v>17</v>
      </c>
      <c r="D56" s="103" t="s">
        <v>22</v>
      </c>
      <c r="E56" s="30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104">
        <f>SUM(F57:AJ57)</f>
        <v>0</v>
      </c>
      <c r="AL56" s="106">
        <f>SUM(F56:AJ56)</f>
        <v>0</v>
      </c>
      <c r="AM56" s="108" t="e">
        <f t="shared" si="0"/>
        <v>#DIV/0!</v>
      </c>
      <c r="AO56" s="60"/>
    </row>
    <row r="57" spans="2:41" ht="18.75" x14ac:dyDescent="0.25">
      <c r="B57" s="102"/>
      <c r="C57" s="28" t="s">
        <v>16</v>
      </c>
      <c r="D57" s="103"/>
      <c r="E57" s="34">
        <f>4018+AK56</f>
        <v>4018</v>
      </c>
      <c r="F57" s="37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6"/>
      <c r="AB57" s="38"/>
      <c r="AC57" s="38"/>
      <c r="AD57" s="38"/>
      <c r="AE57" s="38"/>
      <c r="AF57" s="38"/>
      <c r="AG57" s="38"/>
      <c r="AH57" s="38"/>
      <c r="AI57" s="38"/>
      <c r="AJ57" s="38"/>
      <c r="AK57" s="105"/>
      <c r="AL57" s="107"/>
      <c r="AM57" s="109"/>
    </row>
    <row r="58" spans="2:41" ht="32.25" thickBot="1" x14ac:dyDescent="0.3">
      <c r="B58" s="101" t="s">
        <v>24</v>
      </c>
      <c r="C58" s="39" t="s">
        <v>25</v>
      </c>
      <c r="D58" s="95" t="s">
        <v>22</v>
      </c>
      <c r="E58" s="40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>
        <f>AK54+AK56</f>
        <v>0</v>
      </c>
      <c r="AL58" s="42">
        <f>AL54+AL56</f>
        <v>0</v>
      </c>
      <c r="AM58" s="97" t="e">
        <f t="shared" si="0"/>
        <v>#DIV/0!</v>
      </c>
    </row>
    <row r="59" spans="2:41" ht="32.25" thickBot="1" x14ac:dyDescent="0.3">
      <c r="B59" s="101"/>
      <c r="C59" s="39" t="s">
        <v>26</v>
      </c>
      <c r="D59" s="95" t="s">
        <v>22</v>
      </c>
      <c r="E59" s="43">
        <f>E55+E57</f>
        <v>13514</v>
      </c>
      <c r="F59" s="44">
        <f>+F57+F55</f>
        <v>0</v>
      </c>
      <c r="G59" s="45">
        <f>+G57+G55</f>
        <v>0</v>
      </c>
      <c r="H59" s="45">
        <f t="shared" si="1"/>
        <v>0</v>
      </c>
      <c r="I59" s="45">
        <f t="shared" si="1"/>
        <v>0</v>
      </c>
      <c r="J59" s="45">
        <f t="shared" si="1"/>
        <v>0</v>
      </c>
      <c r="K59" s="45">
        <f t="shared" si="1"/>
        <v>0</v>
      </c>
      <c r="L59" s="45">
        <f t="shared" si="1"/>
        <v>0</v>
      </c>
      <c r="M59" s="45">
        <f t="shared" si="1"/>
        <v>0</v>
      </c>
      <c r="N59" s="45">
        <f t="shared" si="1"/>
        <v>0</v>
      </c>
      <c r="O59" s="45">
        <f t="shared" si="1"/>
        <v>0</v>
      </c>
      <c r="P59" s="45">
        <f t="shared" si="1"/>
        <v>0</v>
      </c>
      <c r="Q59" s="45">
        <f t="shared" si="1"/>
        <v>0</v>
      </c>
      <c r="R59" s="45">
        <f t="shared" si="1"/>
        <v>0</v>
      </c>
      <c r="S59" s="45">
        <f t="shared" si="1"/>
        <v>0</v>
      </c>
      <c r="T59" s="45">
        <f t="shared" si="1"/>
        <v>0</v>
      </c>
      <c r="U59" s="45">
        <f t="shared" si="1"/>
        <v>0</v>
      </c>
      <c r="V59" s="45">
        <f t="shared" si="1"/>
        <v>0</v>
      </c>
      <c r="W59" s="45">
        <f t="shared" si="1"/>
        <v>0</v>
      </c>
      <c r="X59" s="45">
        <f t="shared" si="1"/>
        <v>0</v>
      </c>
      <c r="Y59" s="45">
        <f t="shared" si="1"/>
        <v>0</v>
      </c>
      <c r="Z59" s="45">
        <f t="shared" si="1"/>
        <v>0</v>
      </c>
      <c r="AA59" s="45">
        <f t="shared" si="1"/>
        <v>0</v>
      </c>
      <c r="AB59" s="45">
        <f t="shared" si="1"/>
        <v>0</v>
      </c>
      <c r="AC59" s="45">
        <f t="shared" si="1"/>
        <v>0</v>
      </c>
      <c r="AD59" s="45">
        <f t="shared" si="1"/>
        <v>0</v>
      </c>
      <c r="AE59" s="45">
        <f t="shared" si="1"/>
        <v>0</v>
      </c>
      <c r="AF59" s="45">
        <f t="shared" si="1"/>
        <v>0</v>
      </c>
      <c r="AG59" s="45">
        <f t="shared" si="1"/>
        <v>0</v>
      </c>
      <c r="AH59" s="45">
        <f t="shared" si="1"/>
        <v>0</v>
      </c>
      <c r="AI59" s="45">
        <f t="shared" si="1"/>
        <v>0</v>
      </c>
      <c r="AJ59" s="45">
        <f t="shared" si="1"/>
        <v>0</v>
      </c>
      <c r="AK59" s="46">
        <f>SUM(F59:AJ59)</f>
        <v>0</v>
      </c>
      <c r="AL59" s="47">
        <f>AL58</f>
        <v>0</v>
      </c>
      <c r="AM59" s="48" t="e">
        <f t="shared" si="0"/>
        <v>#DIV/0!</v>
      </c>
    </row>
    <row r="60" spans="2:41" ht="16.5" thickBot="1" x14ac:dyDescent="0.3">
      <c r="B60" s="50" t="s">
        <v>18</v>
      </c>
      <c r="C60" s="51" t="s">
        <v>27</v>
      </c>
      <c r="D60" s="52" t="s">
        <v>22</v>
      </c>
      <c r="E60" s="53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5"/>
      <c r="AL60" s="56"/>
      <c r="AM60" s="57"/>
    </row>
    <row r="61" spans="2:41" ht="32.25" customHeight="1" thickBot="1" x14ac:dyDescent="0.3">
      <c r="B61" s="110" t="s">
        <v>88</v>
      </c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2"/>
    </row>
    <row r="62" spans="2:41" ht="15.75" x14ac:dyDescent="0.25">
      <c r="B62" s="115" t="s">
        <v>20</v>
      </c>
      <c r="C62" s="116"/>
      <c r="D62" s="22"/>
      <c r="E62" s="23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5"/>
      <c r="AL62" s="26"/>
      <c r="AM62" s="27"/>
    </row>
    <row r="63" spans="2:41" ht="15.75" x14ac:dyDescent="0.25">
      <c r="B63" s="102" t="s">
        <v>21</v>
      </c>
      <c r="C63" s="28" t="s">
        <v>17</v>
      </c>
      <c r="D63" s="103" t="s">
        <v>22</v>
      </c>
      <c r="E63" s="30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04">
        <f>SUM(F64:AJ64)</f>
        <v>108</v>
      </c>
      <c r="AL63" s="106">
        <f>SUM(F63:AJ63)</f>
        <v>0</v>
      </c>
      <c r="AM63" s="108" t="e">
        <f t="shared" ref="AM63" si="9">AK63/AL63*100</f>
        <v>#DIV/0!</v>
      </c>
      <c r="AO63" s="60"/>
    </row>
    <row r="64" spans="2:41" ht="18.75" x14ac:dyDescent="0.25">
      <c r="B64" s="102"/>
      <c r="C64" s="28" t="s">
        <v>16</v>
      </c>
      <c r="D64" s="103"/>
      <c r="E64" s="34">
        <f>429+AK63</f>
        <v>537</v>
      </c>
      <c r="F64" s="35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>
        <v>108</v>
      </c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105"/>
      <c r="AL64" s="107"/>
      <c r="AM64" s="109"/>
    </row>
    <row r="65" spans="2:41" ht="15.75" x14ac:dyDescent="0.25">
      <c r="B65" s="102" t="s">
        <v>23</v>
      </c>
      <c r="C65" s="28" t="s">
        <v>17</v>
      </c>
      <c r="D65" s="103" t="s">
        <v>22</v>
      </c>
      <c r="E65" s="30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04">
        <f>SUM(F66:AJ66)</f>
        <v>100</v>
      </c>
      <c r="AL65" s="106">
        <f>SUM(F65:AJ65)</f>
        <v>0</v>
      </c>
      <c r="AM65" s="108" t="e">
        <f t="shared" ref="AM65" si="10">AK65/AL65*100</f>
        <v>#DIV/0!</v>
      </c>
      <c r="AO65" s="60"/>
    </row>
    <row r="66" spans="2:41" ht="18.75" x14ac:dyDescent="0.25">
      <c r="B66" s="102"/>
      <c r="C66" s="28" t="s">
        <v>16</v>
      </c>
      <c r="D66" s="103"/>
      <c r="E66" s="34">
        <f>600+AK65</f>
        <v>700</v>
      </c>
      <c r="F66" s="37"/>
      <c r="G66" s="38"/>
      <c r="H66" s="38"/>
      <c r="I66" s="38"/>
      <c r="J66" s="38">
        <v>60</v>
      </c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>
        <v>40</v>
      </c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105"/>
      <c r="AL66" s="107"/>
      <c r="AM66" s="109"/>
    </row>
    <row r="67" spans="2:41" ht="32.25" thickBot="1" x14ac:dyDescent="0.3">
      <c r="B67" s="101" t="s">
        <v>24</v>
      </c>
      <c r="C67" s="39" t="s">
        <v>25</v>
      </c>
      <c r="D67" s="95" t="s">
        <v>22</v>
      </c>
      <c r="E67" s="40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>
        <f>AK63+AK65</f>
        <v>208</v>
      </c>
      <c r="AL67" s="42">
        <f>AL63+AL65</f>
        <v>0</v>
      </c>
      <c r="AM67" s="97" t="e">
        <f t="shared" ref="AM67:AM68" si="11">AK67/AL67*100</f>
        <v>#DIV/0!</v>
      </c>
    </row>
    <row r="68" spans="2:41" ht="32.25" thickBot="1" x14ac:dyDescent="0.3">
      <c r="B68" s="101"/>
      <c r="C68" s="39" t="s">
        <v>26</v>
      </c>
      <c r="D68" s="95" t="s">
        <v>22</v>
      </c>
      <c r="E68" s="43">
        <f>E64+E66</f>
        <v>1237</v>
      </c>
      <c r="F68" s="44">
        <f>+F66+F64</f>
        <v>0</v>
      </c>
      <c r="G68" s="45">
        <f>+G66+G64</f>
        <v>0</v>
      </c>
      <c r="H68" s="45">
        <f t="shared" ref="H68:AJ68" si="12">+H66+H64</f>
        <v>0</v>
      </c>
      <c r="I68" s="45">
        <f t="shared" si="12"/>
        <v>0</v>
      </c>
      <c r="J68" s="45">
        <f t="shared" si="12"/>
        <v>60</v>
      </c>
      <c r="K68" s="45">
        <f t="shared" si="12"/>
        <v>0</v>
      </c>
      <c r="L68" s="45">
        <f t="shared" si="12"/>
        <v>0</v>
      </c>
      <c r="M68" s="45">
        <f t="shared" si="12"/>
        <v>0</v>
      </c>
      <c r="N68" s="45">
        <f t="shared" si="12"/>
        <v>0</v>
      </c>
      <c r="O68" s="45">
        <f t="shared" si="12"/>
        <v>0</v>
      </c>
      <c r="P68" s="45">
        <f t="shared" si="12"/>
        <v>0</v>
      </c>
      <c r="Q68" s="45">
        <f t="shared" si="12"/>
        <v>0</v>
      </c>
      <c r="R68" s="45">
        <f t="shared" si="12"/>
        <v>0</v>
      </c>
      <c r="S68" s="45">
        <f t="shared" si="12"/>
        <v>0</v>
      </c>
      <c r="T68" s="45">
        <f t="shared" si="12"/>
        <v>0</v>
      </c>
      <c r="U68" s="45">
        <f t="shared" si="12"/>
        <v>148</v>
      </c>
      <c r="V68" s="45">
        <f t="shared" si="12"/>
        <v>0</v>
      </c>
      <c r="W68" s="45">
        <f t="shared" si="12"/>
        <v>0</v>
      </c>
      <c r="X68" s="45">
        <f t="shared" si="12"/>
        <v>0</v>
      </c>
      <c r="Y68" s="45">
        <f t="shared" si="12"/>
        <v>0</v>
      </c>
      <c r="Z68" s="45">
        <f t="shared" si="12"/>
        <v>0</v>
      </c>
      <c r="AA68" s="45">
        <f t="shared" si="12"/>
        <v>0</v>
      </c>
      <c r="AB68" s="45">
        <f t="shared" si="12"/>
        <v>0</v>
      </c>
      <c r="AC68" s="45">
        <f t="shared" si="12"/>
        <v>0</v>
      </c>
      <c r="AD68" s="45">
        <f t="shared" si="12"/>
        <v>0</v>
      </c>
      <c r="AE68" s="45">
        <f t="shared" si="12"/>
        <v>0</v>
      </c>
      <c r="AF68" s="45">
        <f t="shared" si="12"/>
        <v>0</v>
      </c>
      <c r="AG68" s="45">
        <f t="shared" si="12"/>
        <v>0</v>
      </c>
      <c r="AH68" s="45">
        <f t="shared" si="12"/>
        <v>0</v>
      </c>
      <c r="AI68" s="45">
        <f t="shared" si="12"/>
        <v>0</v>
      </c>
      <c r="AJ68" s="45">
        <f t="shared" si="12"/>
        <v>0</v>
      </c>
      <c r="AK68" s="46">
        <f>SUM(F68:AJ68)</f>
        <v>208</v>
      </c>
      <c r="AL68" s="47">
        <f>AL67</f>
        <v>0</v>
      </c>
      <c r="AM68" s="48" t="e">
        <f t="shared" si="11"/>
        <v>#DIV/0!</v>
      </c>
    </row>
    <row r="69" spans="2:41" ht="16.5" thickBot="1" x14ac:dyDescent="0.3">
      <c r="B69" s="50" t="s">
        <v>18</v>
      </c>
      <c r="C69" s="51" t="s">
        <v>27</v>
      </c>
      <c r="D69" s="52" t="s">
        <v>22</v>
      </c>
      <c r="E69" s="53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5"/>
      <c r="AL69" s="56"/>
      <c r="AM69" s="57"/>
    </row>
    <row r="70" spans="2:41" ht="32.25" customHeight="1" thickBot="1" x14ac:dyDescent="0.3">
      <c r="B70" s="110" t="s">
        <v>35</v>
      </c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2"/>
    </row>
    <row r="71" spans="2:41" ht="15.75" x14ac:dyDescent="0.25">
      <c r="B71" s="115" t="s">
        <v>20</v>
      </c>
      <c r="C71" s="116"/>
      <c r="D71" s="22"/>
      <c r="E71" s="23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5"/>
      <c r="AL71" s="26"/>
      <c r="AM71" s="27"/>
    </row>
    <row r="72" spans="2:41" ht="15.75" x14ac:dyDescent="0.25">
      <c r="B72" s="102" t="s">
        <v>21</v>
      </c>
      <c r="C72" s="28" t="s">
        <v>17</v>
      </c>
      <c r="D72" s="103" t="s">
        <v>22</v>
      </c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104">
        <f>SUM(F73:AJ73)</f>
        <v>0</v>
      </c>
      <c r="AL72" s="106">
        <f>SUM(F72:AJ72)</f>
        <v>0</v>
      </c>
      <c r="AM72" s="108" t="e">
        <f t="shared" si="0"/>
        <v>#DIV/0!</v>
      </c>
      <c r="AO72" s="60"/>
    </row>
    <row r="73" spans="2:41" ht="18.75" x14ac:dyDescent="0.25">
      <c r="B73" s="102"/>
      <c r="C73" s="28" t="s">
        <v>16</v>
      </c>
      <c r="D73" s="103"/>
      <c r="E73" s="34">
        <f>+AK72+9668</f>
        <v>9668</v>
      </c>
      <c r="F73" s="35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105"/>
      <c r="AL73" s="107"/>
      <c r="AM73" s="109"/>
    </row>
    <row r="74" spans="2:41" ht="15.75" x14ac:dyDescent="0.25">
      <c r="B74" s="102" t="s">
        <v>23</v>
      </c>
      <c r="C74" s="28" t="s">
        <v>17</v>
      </c>
      <c r="D74" s="103" t="s">
        <v>22</v>
      </c>
      <c r="E74" s="30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104">
        <f>SUM(F75:AJ75)</f>
        <v>0</v>
      </c>
      <c r="AL74" s="106">
        <f>SUM(F74:AJ74)</f>
        <v>0</v>
      </c>
      <c r="AM74" s="108" t="e">
        <f t="shared" si="0"/>
        <v>#DIV/0!</v>
      </c>
      <c r="AO74" s="60"/>
    </row>
    <row r="75" spans="2:41" ht="18.75" x14ac:dyDescent="0.25">
      <c r="B75" s="102"/>
      <c r="C75" s="28" t="s">
        <v>16</v>
      </c>
      <c r="D75" s="103"/>
      <c r="E75" s="34">
        <f>AK74+4790</f>
        <v>4790</v>
      </c>
      <c r="F75" s="37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105"/>
      <c r="AL75" s="107"/>
      <c r="AM75" s="109"/>
    </row>
    <row r="76" spans="2:41" ht="32.25" thickBot="1" x14ac:dyDescent="0.3">
      <c r="B76" s="101" t="s">
        <v>24</v>
      </c>
      <c r="C76" s="39" t="s">
        <v>25</v>
      </c>
      <c r="D76" s="95" t="s">
        <v>22</v>
      </c>
      <c r="E76" s="40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>
        <f>AK72+AK74</f>
        <v>0</v>
      </c>
      <c r="AL76" s="42">
        <f>AL72+AL74</f>
        <v>0</v>
      </c>
      <c r="AM76" s="97" t="e">
        <f t="shared" si="0"/>
        <v>#DIV/0!</v>
      </c>
    </row>
    <row r="77" spans="2:41" ht="32.25" thickBot="1" x14ac:dyDescent="0.3">
      <c r="B77" s="101"/>
      <c r="C77" s="39" t="s">
        <v>26</v>
      </c>
      <c r="D77" s="95" t="s">
        <v>22</v>
      </c>
      <c r="E77" s="43">
        <f>E73+E75</f>
        <v>14458</v>
      </c>
      <c r="F77" s="44">
        <f>+F75+F73</f>
        <v>0</v>
      </c>
      <c r="G77" s="45">
        <f>+G75+G73</f>
        <v>0</v>
      </c>
      <c r="H77" s="45">
        <f t="shared" ref="H77:AJ86" si="13">+H75+H73</f>
        <v>0</v>
      </c>
      <c r="I77" s="45">
        <f t="shared" si="13"/>
        <v>0</v>
      </c>
      <c r="J77" s="45">
        <f t="shared" si="13"/>
        <v>0</v>
      </c>
      <c r="K77" s="45">
        <f t="shared" si="13"/>
        <v>0</v>
      </c>
      <c r="L77" s="45">
        <f t="shared" si="13"/>
        <v>0</v>
      </c>
      <c r="M77" s="45">
        <f t="shared" si="13"/>
        <v>0</v>
      </c>
      <c r="N77" s="45">
        <f t="shared" si="13"/>
        <v>0</v>
      </c>
      <c r="O77" s="45">
        <f t="shared" si="13"/>
        <v>0</v>
      </c>
      <c r="P77" s="45">
        <f t="shared" si="13"/>
        <v>0</v>
      </c>
      <c r="Q77" s="45">
        <f t="shared" si="13"/>
        <v>0</v>
      </c>
      <c r="R77" s="45">
        <f t="shared" si="13"/>
        <v>0</v>
      </c>
      <c r="S77" s="45">
        <f t="shared" si="13"/>
        <v>0</v>
      </c>
      <c r="T77" s="45">
        <f t="shared" si="13"/>
        <v>0</v>
      </c>
      <c r="U77" s="45">
        <f t="shared" si="13"/>
        <v>0</v>
      </c>
      <c r="V77" s="45">
        <f t="shared" si="13"/>
        <v>0</v>
      </c>
      <c r="W77" s="45">
        <f t="shared" si="13"/>
        <v>0</v>
      </c>
      <c r="X77" s="45">
        <f t="shared" si="13"/>
        <v>0</v>
      </c>
      <c r="Y77" s="45">
        <f t="shared" si="13"/>
        <v>0</v>
      </c>
      <c r="Z77" s="45">
        <f t="shared" si="13"/>
        <v>0</v>
      </c>
      <c r="AA77" s="45">
        <f t="shared" si="13"/>
        <v>0</v>
      </c>
      <c r="AB77" s="45">
        <f t="shared" si="13"/>
        <v>0</v>
      </c>
      <c r="AC77" s="45">
        <f t="shared" si="13"/>
        <v>0</v>
      </c>
      <c r="AD77" s="45">
        <f t="shared" si="13"/>
        <v>0</v>
      </c>
      <c r="AE77" s="45">
        <f t="shared" si="13"/>
        <v>0</v>
      </c>
      <c r="AF77" s="45">
        <f t="shared" si="13"/>
        <v>0</v>
      </c>
      <c r="AG77" s="45">
        <f t="shared" si="13"/>
        <v>0</v>
      </c>
      <c r="AH77" s="45">
        <f t="shared" si="13"/>
        <v>0</v>
      </c>
      <c r="AI77" s="45">
        <f t="shared" si="13"/>
        <v>0</v>
      </c>
      <c r="AJ77" s="45">
        <f t="shared" si="13"/>
        <v>0</v>
      </c>
      <c r="AK77" s="46">
        <f>SUM(F77:AJ77)</f>
        <v>0</v>
      </c>
      <c r="AL77" s="47">
        <f>AL76</f>
        <v>0</v>
      </c>
      <c r="AM77" s="48" t="e">
        <f t="shared" si="0"/>
        <v>#DIV/0!</v>
      </c>
    </row>
    <row r="78" spans="2:41" ht="16.5" thickBot="1" x14ac:dyDescent="0.3">
      <c r="B78" s="50" t="s">
        <v>18</v>
      </c>
      <c r="C78" s="51" t="s">
        <v>27</v>
      </c>
      <c r="D78" s="52" t="s">
        <v>22</v>
      </c>
      <c r="E78" s="53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5"/>
      <c r="AL78" s="56"/>
      <c r="AM78" s="57"/>
    </row>
    <row r="79" spans="2:41" ht="29.25" customHeight="1" thickBot="1" x14ac:dyDescent="0.3">
      <c r="B79" s="110" t="s">
        <v>36</v>
      </c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2"/>
    </row>
    <row r="80" spans="2:41" ht="15.75" x14ac:dyDescent="0.25">
      <c r="B80" s="115" t="s">
        <v>20</v>
      </c>
      <c r="C80" s="116"/>
      <c r="D80" s="22"/>
      <c r="E80" s="23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5"/>
      <c r="AL80" s="26"/>
      <c r="AM80" s="27"/>
    </row>
    <row r="81" spans="2:41" ht="15.75" x14ac:dyDescent="0.25">
      <c r="B81" s="102" t="s">
        <v>21</v>
      </c>
      <c r="C81" s="28" t="s">
        <v>17</v>
      </c>
      <c r="D81" s="103" t="s">
        <v>22</v>
      </c>
      <c r="E81" s="30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104">
        <f>SUM(F82:AJ82)</f>
        <v>0</v>
      </c>
      <c r="AL81" s="106">
        <f>SUM(F81:AJ81)</f>
        <v>0</v>
      </c>
      <c r="AM81" s="108" t="e">
        <f t="shared" si="0"/>
        <v>#DIV/0!</v>
      </c>
      <c r="AO81" s="60"/>
    </row>
    <row r="82" spans="2:41" ht="18.75" x14ac:dyDescent="0.25">
      <c r="B82" s="102"/>
      <c r="C82" s="28" t="s">
        <v>16</v>
      </c>
      <c r="D82" s="103"/>
      <c r="E82" s="34">
        <f>150+AK81</f>
        <v>150</v>
      </c>
      <c r="F82" s="35"/>
      <c r="G82" s="36"/>
      <c r="H82" s="36"/>
      <c r="I82" s="36"/>
      <c r="J82" s="38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105"/>
      <c r="AL82" s="107"/>
      <c r="AM82" s="109"/>
    </row>
    <row r="83" spans="2:41" ht="15.75" x14ac:dyDescent="0.25">
      <c r="B83" s="102" t="s">
        <v>23</v>
      </c>
      <c r="C83" s="28" t="s">
        <v>17</v>
      </c>
      <c r="D83" s="103" t="s">
        <v>22</v>
      </c>
      <c r="E83" s="30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104">
        <f>SUM(F84:AJ84)</f>
        <v>0</v>
      </c>
      <c r="AL83" s="106">
        <f>SUM(F83:AJ83)</f>
        <v>0</v>
      </c>
      <c r="AM83" s="108" t="e">
        <f t="shared" si="0"/>
        <v>#DIV/0!</v>
      </c>
      <c r="AO83" s="60"/>
    </row>
    <row r="84" spans="2:41" ht="18.75" x14ac:dyDescent="0.25">
      <c r="B84" s="102"/>
      <c r="C84" s="28" t="s">
        <v>16</v>
      </c>
      <c r="D84" s="103"/>
      <c r="E84" s="34">
        <f>160+AK83</f>
        <v>160</v>
      </c>
      <c r="F84" s="37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105"/>
      <c r="AL84" s="107"/>
      <c r="AM84" s="109"/>
    </row>
    <row r="85" spans="2:41" ht="32.25" thickBot="1" x14ac:dyDescent="0.3">
      <c r="B85" s="101" t="s">
        <v>24</v>
      </c>
      <c r="C85" s="39" t="s">
        <v>25</v>
      </c>
      <c r="D85" s="95" t="s">
        <v>22</v>
      </c>
      <c r="E85" s="40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>
        <f>AK81+AK83</f>
        <v>0</v>
      </c>
      <c r="AL85" s="42">
        <f>AL81+AL83</f>
        <v>0</v>
      </c>
      <c r="AM85" s="97" t="e">
        <f t="shared" si="0"/>
        <v>#DIV/0!</v>
      </c>
    </row>
    <row r="86" spans="2:41" ht="32.25" thickBot="1" x14ac:dyDescent="0.3">
      <c r="B86" s="101"/>
      <c r="C86" s="39" t="s">
        <v>26</v>
      </c>
      <c r="D86" s="95" t="s">
        <v>22</v>
      </c>
      <c r="E86" s="43">
        <f>+AK86</f>
        <v>0</v>
      </c>
      <c r="F86" s="44">
        <f>+F84+F82</f>
        <v>0</v>
      </c>
      <c r="G86" s="45">
        <f>+G84+G82</f>
        <v>0</v>
      </c>
      <c r="H86" s="45">
        <f t="shared" si="13"/>
        <v>0</v>
      </c>
      <c r="I86" s="45">
        <f t="shared" si="13"/>
        <v>0</v>
      </c>
      <c r="J86" s="45">
        <f t="shared" si="13"/>
        <v>0</v>
      </c>
      <c r="K86" s="45">
        <f t="shared" si="13"/>
        <v>0</v>
      </c>
      <c r="L86" s="45">
        <f t="shared" si="13"/>
        <v>0</v>
      </c>
      <c r="M86" s="45">
        <f t="shared" si="13"/>
        <v>0</v>
      </c>
      <c r="N86" s="45">
        <f t="shared" si="13"/>
        <v>0</v>
      </c>
      <c r="O86" s="45">
        <f t="shared" si="13"/>
        <v>0</v>
      </c>
      <c r="P86" s="45">
        <f t="shared" si="13"/>
        <v>0</v>
      </c>
      <c r="Q86" s="45">
        <f t="shared" si="13"/>
        <v>0</v>
      </c>
      <c r="R86" s="45">
        <f t="shared" si="13"/>
        <v>0</v>
      </c>
      <c r="S86" s="45">
        <f t="shared" si="13"/>
        <v>0</v>
      </c>
      <c r="T86" s="45">
        <f t="shared" si="13"/>
        <v>0</v>
      </c>
      <c r="U86" s="45">
        <f t="shared" si="13"/>
        <v>0</v>
      </c>
      <c r="V86" s="45">
        <f t="shared" si="13"/>
        <v>0</v>
      </c>
      <c r="W86" s="45">
        <f t="shared" si="13"/>
        <v>0</v>
      </c>
      <c r="X86" s="45">
        <f t="shared" si="13"/>
        <v>0</v>
      </c>
      <c r="Y86" s="45">
        <f t="shared" si="13"/>
        <v>0</v>
      </c>
      <c r="Z86" s="45">
        <f t="shared" si="13"/>
        <v>0</v>
      </c>
      <c r="AA86" s="45">
        <f t="shared" si="13"/>
        <v>0</v>
      </c>
      <c r="AB86" s="45">
        <f t="shared" si="13"/>
        <v>0</v>
      </c>
      <c r="AC86" s="45">
        <f t="shared" si="13"/>
        <v>0</v>
      </c>
      <c r="AD86" s="45">
        <f t="shared" si="13"/>
        <v>0</v>
      </c>
      <c r="AE86" s="45">
        <f t="shared" si="13"/>
        <v>0</v>
      </c>
      <c r="AF86" s="45">
        <f t="shared" si="13"/>
        <v>0</v>
      </c>
      <c r="AG86" s="45">
        <f t="shared" si="13"/>
        <v>0</v>
      </c>
      <c r="AH86" s="45">
        <f t="shared" si="13"/>
        <v>0</v>
      </c>
      <c r="AI86" s="45">
        <f t="shared" si="13"/>
        <v>0</v>
      </c>
      <c r="AJ86" s="45">
        <f t="shared" si="13"/>
        <v>0</v>
      </c>
      <c r="AK86" s="46">
        <f>SUM(F86:AJ86)</f>
        <v>0</v>
      </c>
      <c r="AL86" s="47">
        <f>AL85</f>
        <v>0</v>
      </c>
      <c r="AM86" s="48" t="e">
        <f t="shared" si="0"/>
        <v>#DIV/0!</v>
      </c>
    </row>
    <row r="87" spans="2:41" ht="16.5" thickBot="1" x14ac:dyDescent="0.3">
      <c r="B87" s="50" t="s">
        <v>18</v>
      </c>
      <c r="C87" s="51" t="s">
        <v>27</v>
      </c>
      <c r="D87" s="52" t="s">
        <v>22</v>
      </c>
      <c r="E87" s="53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5"/>
      <c r="AL87" s="56"/>
      <c r="AM87" s="57"/>
    </row>
    <row r="88" spans="2:41" ht="29.25" customHeight="1" thickBot="1" x14ac:dyDescent="0.3">
      <c r="B88" s="110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2"/>
    </row>
    <row r="89" spans="2:41" ht="29.25" customHeight="1" thickBot="1" x14ac:dyDescent="0.3">
      <c r="B89" s="110" t="s">
        <v>90</v>
      </c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2"/>
    </row>
    <row r="90" spans="2:41" ht="30.75" customHeight="1" x14ac:dyDescent="0.25">
      <c r="B90" s="113" t="s">
        <v>31</v>
      </c>
      <c r="C90" s="114"/>
      <c r="D90" s="22"/>
      <c r="E90" s="23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25"/>
      <c r="AL90" s="26"/>
      <c r="AM90" s="27"/>
    </row>
    <row r="91" spans="2:41" ht="15.75" x14ac:dyDescent="0.25">
      <c r="B91" s="102" t="s">
        <v>21</v>
      </c>
      <c r="C91" s="28" t="s">
        <v>17</v>
      </c>
      <c r="D91" s="103" t="s">
        <v>22</v>
      </c>
      <c r="E91" s="30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104">
        <f>SUM(F92:AJ92)</f>
        <v>1608</v>
      </c>
      <c r="AL91" s="106">
        <f>SUM(F91:AJ91)</f>
        <v>0</v>
      </c>
      <c r="AM91" s="108" t="e">
        <f t="shared" si="0"/>
        <v>#DIV/0!</v>
      </c>
      <c r="AO91" s="60"/>
    </row>
    <row r="92" spans="2:41" ht="18.75" x14ac:dyDescent="0.25">
      <c r="B92" s="102"/>
      <c r="C92" s="28" t="s">
        <v>16</v>
      </c>
      <c r="D92" s="103"/>
      <c r="E92" s="34">
        <f>8829+AK91</f>
        <v>10437</v>
      </c>
      <c r="F92" s="36"/>
      <c r="G92" s="36">
        <v>60</v>
      </c>
      <c r="H92" s="36">
        <v>120</v>
      </c>
      <c r="I92" s="36">
        <v>132</v>
      </c>
      <c r="J92" s="38">
        <v>144</v>
      </c>
      <c r="K92" s="36">
        <v>144</v>
      </c>
      <c r="L92" s="36">
        <v>120</v>
      </c>
      <c r="M92" s="36"/>
      <c r="N92" s="36">
        <v>120</v>
      </c>
      <c r="O92" s="36">
        <v>156</v>
      </c>
      <c r="P92" s="36"/>
      <c r="Q92" s="36"/>
      <c r="R92" s="36"/>
      <c r="S92" s="36">
        <v>168</v>
      </c>
      <c r="T92" s="36">
        <v>36</v>
      </c>
      <c r="U92" s="36">
        <v>96</v>
      </c>
      <c r="V92" s="36">
        <v>144</v>
      </c>
      <c r="W92" s="36">
        <v>168</v>
      </c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105"/>
      <c r="AL92" s="107"/>
      <c r="AM92" s="109"/>
    </row>
    <row r="93" spans="2:41" ht="15.75" x14ac:dyDescent="0.25">
      <c r="B93" s="102" t="s">
        <v>23</v>
      </c>
      <c r="C93" s="28" t="s">
        <v>17</v>
      </c>
      <c r="D93" s="103" t="s">
        <v>22</v>
      </c>
      <c r="E93" s="30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104">
        <f>SUM(F94:AJ94)</f>
        <v>0</v>
      </c>
      <c r="AL93" s="106">
        <f>SUM(F93:AJ93)</f>
        <v>0</v>
      </c>
      <c r="AM93" s="108" t="e">
        <f t="shared" si="0"/>
        <v>#DIV/0!</v>
      </c>
    </row>
    <row r="94" spans="2:41" ht="18.75" x14ac:dyDescent="0.25">
      <c r="B94" s="102"/>
      <c r="C94" s="28" t="s">
        <v>16</v>
      </c>
      <c r="D94" s="103"/>
      <c r="E94" s="34">
        <f>2025+AK93</f>
        <v>2025</v>
      </c>
      <c r="F94" s="37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105"/>
      <c r="AL94" s="107"/>
      <c r="AM94" s="109"/>
    </row>
    <row r="95" spans="2:41" ht="32.25" thickBot="1" x14ac:dyDescent="0.3">
      <c r="B95" s="101" t="s">
        <v>24</v>
      </c>
      <c r="C95" s="39" t="s">
        <v>25</v>
      </c>
      <c r="D95" s="95" t="s">
        <v>22</v>
      </c>
      <c r="E95" s="40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>
        <f>AK91+AK93</f>
        <v>1608</v>
      </c>
      <c r="AL95" s="42">
        <f>AL91+AL93</f>
        <v>0</v>
      </c>
      <c r="AM95" s="97" t="e">
        <f t="shared" si="0"/>
        <v>#DIV/0!</v>
      </c>
    </row>
    <row r="96" spans="2:41" ht="32.25" thickBot="1" x14ac:dyDescent="0.3">
      <c r="B96" s="101"/>
      <c r="C96" s="39" t="s">
        <v>26</v>
      </c>
      <c r="D96" s="95" t="s">
        <v>22</v>
      </c>
      <c r="E96" s="43">
        <f>+AK96</f>
        <v>1608</v>
      </c>
      <c r="F96" s="44">
        <f>+F94+F92</f>
        <v>0</v>
      </c>
      <c r="G96" s="45">
        <f>+G94+G92</f>
        <v>60</v>
      </c>
      <c r="H96" s="45">
        <f t="shared" ref="H96:AJ96" si="14">+H94+H92</f>
        <v>120</v>
      </c>
      <c r="I96" s="45">
        <f t="shared" si="14"/>
        <v>132</v>
      </c>
      <c r="J96" s="45">
        <f t="shared" si="14"/>
        <v>144</v>
      </c>
      <c r="K96" s="45">
        <f t="shared" si="14"/>
        <v>144</v>
      </c>
      <c r="L96" s="45">
        <f t="shared" si="14"/>
        <v>120</v>
      </c>
      <c r="M96" s="45">
        <f t="shared" si="14"/>
        <v>0</v>
      </c>
      <c r="N96" s="45">
        <f t="shared" si="14"/>
        <v>120</v>
      </c>
      <c r="O96" s="45">
        <f t="shared" si="14"/>
        <v>156</v>
      </c>
      <c r="P96" s="45">
        <f t="shared" si="14"/>
        <v>0</v>
      </c>
      <c r="Q96" s="45">
        <f t="shared" si="14"/>
        <v>0</v>
      </c>
      <c r="R96" s="45">
        <f t="shared" si="14"/>
        <v>0</v>
      </c>
      <c r="S96" s="45">
        <f t="shared" si="14"/>
        <v>168</v>
      </c>
      <c r="T96" s="45">
        <f t="shared" si="14"/>
        <v>36</v>
      </c>
      <c r="U96" s="45">
        <f t="shared" si="14"/>
        <v>96</v>
      </c>
      <c r="V96" s="45">
        <f t="shared" si="14"/>
        <v>144</v>
      </c>
      <c r="W96" s="45">
        <f t="shared" si="14"/>
        <v>168</v>
      </c>
      <c r="X96" s="45">
        <f t="shared" si="14"/>
        <v>0</v>
      </c>
      <c r="Y96" s="45">
        <f t="shared" si="14"/>
        <v>0</v>
      </c>
      <c r="Z96" s="45">
        <f t="shared" si="14"/>
        <v>0</v>
      </c>
      <c r="AA96" s="45">
        <f t="shared" si="14"/>
        <v>0</v>
      </c>
      <c r="AB96" s="45">
        <f t="shared" si="14"/>
        <v>0</v>
      </c>
      <c r="AC96" s="45">
        <f t="shared" si="14"/>
        <v>0</v>
      </c>
      <c r="AD96" s="45">
        <f t="shared" si="14"/>
        <v>0</v>
      </c>
      <c r="AE96" s="45">
        <f t="shared" si="14"/>
        <v>0</v>
      </c>
      <c r="AF96" s="45">
        <f t="shared" si="14"/>
        <v>0</v>
      </c>
      <c r="AG96" s="45">
        <f t="shared" si="14"/>
        <v>0</v>
      </c>
      <c r="AH96" s="45">
        <f t="shared" si="14"/>
        <v>0</v>
      </c>
      <c r="AI96" s="45">
        <f t="shared" si="14"/>
        <v>0</v>
      </c>
      <c r="AJ96" s="45">
        <f t="shared" si="14"/>
        <v>0</v>
      </c>
      <c r="AK96" s="46">
        <f>SUM(F96:AJ96)</f>
        <v>1608</v>
      </c>
      <c r="AL96" s="47">
        <f>AL95</f>
        <v>0</v>
      </c>
      <c r="AM96" s="48" t="e">
        <f t="shared" si="0"/>
        <v>#DIV/0!</v>
      </c>
    </row>
    <row r="97" spans="2:39" ht="15.75" x14ac:dyDescent="0.25">
      <c r="B97" s="61" t="s">
        <v>18</v>
      </c>
      <c r="C97" s="62" t="s">
        <v>27</v>
      </c>
      <c r="D97" s="63" t="s">
        <v>22</v>
      </c>
      <c r="E97" s="64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6"/>
      <c r="AL97" s="67"/>
      <c r="AM97" s="68"/>
    </row>
    <row r="98" spans="2:39" ht="15" customHeight="1" x14ac:dyDescent="0.25">
      <c r="B98" s="136">
        <v>235</v>
      </c>
      <c r="C98" s="137"/>
      <c r="D98" s="138"/>
      <c r="E98" s="71"/>
      <c r="F98" s="72"/>
      <c r="G98" s="72">
        <v>2</v>
      </c>
      <c r="H98" s="72">
        <v>2</v>
      </c>
      <c r="I98" s="72">
        <v>2</v>
      </c>
      <c r="J98" s="72">
        <v>2</v>
      </c>
      <c r="K98" s="72">
        <v>2</v>
      </c>
      <c r="L98" s="72">
        <v>2</v>
      </c>
      <c r="M98" s="72"/>
      <c r="N98" s="72">
        <v>2</v>
      </c>
      <c r="O98" s="72">
        <v>2</v>
      </c>
      <c r="P98" s="72"/>
      <c r="Q98" s="72"/>
      <c r="R98" s="72"/>
      <c r="S98" s="72">
        <v>2</v>
      </c>
      <c r="T98" s="72"/>
      <c r="U98" s="72"/>
      <c r="V98" s="72">
        <v>2</v>
      </c>
      <c r="W98" s="72"/>
      <c r="X98" s="72"/>
      <c r="Y98" s="72"/>
      <c r="Z98" s="72"/>
      <c r="AA98" s="72"/>
      <c r="AB98" s="72"/>
      <c r="AC98" s="71"/>
      <c r="AD98" s="72"/>
      <c r="AE98" s="91"/>
      <c r="AF98" s="72"/>
      <c r="AG98" s="72"/>
      <c r="AH98" s="72"/>
      <c r="AI98" s="72"/>
      <c r="AJ98" s="71"/>
      <c r="AK98" s="71"/>
      <c r="AL98" s="71"/>
      <c r="AM98" s="71"/>
    </row>
    <row r="99" spans="2:39" ht="15" customHeight="1" x14ac:dyDescent="0.25">
      <c r="B99" s="136">
        <v>771</v>
      </c>
      <c r="C99" s="137"/>
      <c r="D99" s="138"/>
      <c r="E99" s="71"/>
      <c r="F99" s="72"/>
      <c r="G99" s="71"/>
      <c r="H99" s="72"/>
      <c r="I99" s="72"/>
      <c r="J99" s="72"/>
      <c r="K99" s="72"/>
      <c r="L99" s="72"/>
      <c r="M99" s="72"/>
      <c r="N99" s="72"/>
      <c r="O99" s="72">
        <v>2</v>
      </c>
      <c r="P99" s="72"/>
      <c r="Q99" s="72"/>
      <c r="R99" s="72"/>
      <c r="S99" s="72">
        <v>2</v>
      </c>
      <c r="T99" s="72">
        <v>1</v>
      </c>
      <c r="U99" s="72">
        <v>2</v>
      </c>
      <c r="V99" s="72">
        <v>2</v>
      </c>
      <c r="W99" s="72">
        <v>2</v>
      </c>
      <c r="X99" s="72"/>
      <c r="Y99" s="72"/>
      <c r="Z99" s="72"/>
      <c r="AA99" s="72"/>
      <c r="AB99" s="72"/>
      <c r="AC99" s="71"/>
      <c r="AD99" s="72"/>
      <c r="AE99" s="91"/>
      <c r="AF99" s="72"/>
      <c r="AG99" s="72"/>
      <c r="AH99" s="72"/>
      <c r="AI99" s="72"/>
      <c r="AJ99" s="71"/>
      <c r="AK99" s="71"/>
      <c r="AL99" s="71"/>
      <c r="AM99" s="71"/>
    </row>
    <row r="100" spans="2:39" ht="15" customHeight="1" x14ac:dyDescent="0.25">
      <c r="B100" s="136">
        <v>317</v>
      </c>
      <c r="C100" s="137"/>
      <c r="D100" s="138"/>
      <c r="E100" s="71"/>
      <c r="F100" s="72"/>
      <c r="G100" s="72">
        <v>2</v>
      </c>
      <c r="H100" s="72">
        <v>2</v>
      </c>
      <c r="I100" s="72">
        <v>2</v>
      </c>
      <c r="J100" s="72">
        <v>2</v>
      </c>
      <c r="K100" s="72">
        <v>2</v>
      </c>
      <c r="L100" s="72">
        <v>2</v>
      </c>
      <c r="M100" s="72"/>
      <c r="N100" s="72"/>
      <c r="O100" s="72">
        <v>2</v>
      </c>
      <c r="P100" s="72"/>
      <c r="Q100" s="72"/>
      <c r="R100" s="72"/>
      <c r="S100" s="72">
        <v>2</v>
      </c>
      <c r="T100" s="72"/>
      <c r="U100" s="72">
        <v>2</v>
      </c>
      <c r="V100" s="72">
        <v>2</v>
      </c>
      <c r="W100" s="72">
        <v>2</v>
      </c>
      <c r="X100" s="72"/>
      <c r="Y100" s="72"/>
      <c r="Z100" s="72"/>
      <c r="AA100" s="72"/>
      <c r="AB100" s="72"/>
      <c r="AC100" s="71"/>
      <c r="AD100" s="72"/>
      <c r="AE100" s="91"/>
      <c r="AF100" s="72"/>
      <c r="AG100" s="72"/>
      <c r="AH100" s="72"/>
      <c r="AI100" s="72"/>
      <c r="AJ100" s="71"/>
      <c r="AK100" s="71"/>
      <c r="AL100" s="71"/>
      <c r="AM100" s="71"/>
    </row>
    <row r="101" spans="2:39" ht="15" customHeight="1" x14ac:dyDescent="0.25">
      <c r="B101" s="136">
        <v>912</v>
      </c>
      <c r="C101" s="137"/>
      <c r="D101" s="138"/>
      <c r="E101" s="71"/>
      <c r="F101" s="72"/>
      <c r="G101" s="72">
        <v>1</v>
      </c>
      <c r="H101" s="72">
        <v>2</v>
      </c>
      <c r="I101" s="72">
        <v>2</v>
      </c>
      <c r="J101" s="72">
        <v>2</v>
      </c>
      <c r="K101" s="72">
        <v>2</v>
      </c>
      <c r="L101" s="72">
        <v>2</v>
      </c>
      <c r="M101" s="72"/>
      <c r="N101" s="72">
        <v>2</v>
      </c>
      <c r="O101" s="72">
        <v>1</v>
      </c>
      <c r="P101" s="72"/>
      <c r="Q101" s="72"/>
      <c r="R101" s="72"/>
      <c r="S101" s="72">
        <v>2</v>
      </c>
      <c r="T101" s="72">
        <v>2</v>
      </c>
      <c r="U101" s="72">
        <v>2</v>
      </c>
      <c r="V101" s="72"/>
      <c r="W101" s="72"/>
      <c r="X101" s="72"/>
      <c r="Y101" s="72"/>
      <c r="Z101" s="72"/>
      <c r="AA101" s="72"/>
      <c r="AB101" s="72"/>
      <c r="AC101" s="71"/>
      <c r="AD101" s="72"/>
      <c r="AE101" s="91"/>
      <c r="AF101" s="72"/>
      <c r="AG101" s="72"/>
      <c r="AH101" s="72"/>
      <c r="AI101" s="72"/>
      <c r="AJ101" s="71"/>
      <c r="AK101" s="71"/>
      <c r="AL101" s="71"/>
      <c r="AM101" s="71"/>
    </row>
    <row r="102" spans="2:39" ht="15" customHeight="1" x14ac:dyDescent="0.25">
      <c r="B102" s="136">
        <v>351</v>
      </c>
      <c r="C102" s="137"/>
      <c r="D102" s="138"/>
      <c r="E102" s="71"/>
      <c r="F102" s="72"/>
      <c r="G102" s="71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1"/>
      <c r="AB102" s="72"/>
      <c r="AC102" s="71"/>
      <c r="AD102" s="72"/>
      <c r="AE102" s="91"/>
      <c r="AF102" s="72"/>
      <c r="AG102" s="72"/>
      <c r="AH102" s="72"/>
      <c r="AI102" s="72"/>
      <c r="AJ102" s="71"/>
      <c r="AK102" s="71"/>
      <c r="AL102" s="71"/>
      <c r="AM102" s="71"/>
    </row>
    <row r="103" spans="2:39" ht="15" customHeight="1" x14ac:dyDescent="0.25">
      <c r="B103" s="136">
        <v>275</v>
      </c>
      <c r="C103" s="137"/>
      <c r="D103" s="138"/>
      <c r="E103" s="71"/>
      <c r="F103" s="71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1"/>
      <c r="AB103" s="72"/>
      <c r="AC103" s="71"/>
      <c r="AD103" s="72"/>
      <c r="AE103" s="91"/>
      <c r="AF103" s="72"/>
      <c r="AG103" s="72"/>
      <c r="AH103" s="72"/>
      <c r="AI103" s="72"/>
      <c r="AJ103" s="71"/>
      <c r="AK103" s="71"/>
      <c r="AL103" s="71"/>
      <c r="AM103" s="71"/>
    </row>
    <row r="104" spans="2:39" ht="15" customHeight="1" x14ac:dyDescent="0.25">
      <c r="B104" s="136">
        <v>312</v>
      </c>
      <c r="C104" s="137"/>
      <c r="D104" s="138"/>
      <c r="E104" s="71"/>
      <c r="F104" s="71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1"/>
      <c r="AB104" s="72"/>
      <c r="AC104" s="71"/>
      <c r="AD104" s="72"/>
      <c r="AE104" s="91"/>
      <c r="AF104" s="72"/>
      <c r="AG104" s="72"/>
      <c r="AH104" s="72"/>
      <c r="AI104" s="72"/>
      <c r="AJ104" s="71"/>
      <c r="AK104" s="71"/>
      <c r="AL104" s="71"/>
      <c r="AM104" s="71"/>
    </row>
    <row r="105" spans="2:39" ht="15" customHeight="1" x14ac:dyDescent="0.25">
      <c r="B105" s="136">
        <v>354</v>
      </c>
      <c r="C105" s="137"/>
      <c r="D105" s="138"/>
      <c r="E105" s="71"/>
      <c r="F105" s="71"/>
      <c r="G105" s="72"/>
      <c r="H105" s="72"/>
      <c r="I105" s="72">
        <v>2</v>
      </c>
      <c r="J105" s="72">
        <v>2</v>
      </c>
      <c r="K105" s="72">
        <v>2</v>
      </c>
      <c r="L105" s="72">
        <v>2</v>
      </c>
      <c r="M105" s="72"/>
      <c r="N105" s="72">
        <v>2</v>
      </c>
      <c r="O105" s="72">
        <v>2</v>
      </c>
      <c r="P105" s="72"/>
      <c r="Q105" s="72"/>
      <c r="R105" s="72"/>
      <c r="S105" s="72">
        <v>2</v>
      </c>
      <c r="T105" s="72"/>
      <c r="U105" s="72"/>
      <c r="V105" s="72">
        <v>2</v>
      </c>
      <c r="W105" s="72">
        <v>2</v>
      </c>
      <c r="X105" s="72"/>
      <c r="Y105" s="72"/>
      <c r="Z105" s="72"/>
      <c r="AA105" s="71"/>
      <c r="AB105" s="72"/>
      <c r="AC105" s="71"/>
      <c r="AD105" s="72"/>
      <c r="AE105" s="91"/>
      <c r="AF105" s="72"/>
      <c r="AG105" s="72"/>
      <c r="AH105" s="72"/>
      <c r="AI105" s="72"/>
      <c r="AJ105" s="71"/>
      <c r="AK105" s="71"/>
      <c r="AL105" s="71"/>
      <c r="AM105" s="71"/>
    </row>
    <row r="106" spans="2:39" ht="15" customHeight="1" x14ac:dyDescent="0.25">
      <c r="B106" s="136">
        <v>394</v>
      </c>
      <c r="C106" s="137"/>
      <c r="D106" s="138"/>
      <c r="E106" s="71"/>
      <c r="F106" s="71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1"/>
      <c r="AB106" s="72"/>
      <c r="AC106" s="71"/>
      <c r="AD106" s="72"/>
      <c r="AE106" s="91"/>
      <c r="AF106" s="72"/>
      <c r="AG106" s="72"/>
      <c r="AH106" s="72"/>
      <c r="AI106" s="72"/>
      <c r="AJ106" s="71"/>
      <c r="AK106" s="71"/>
      <c r="AL106" s="71"/>
      <c r="AM106" s="71"/>
    </row>
    <row r="107" spans="2:39" ht="15" customHeight="1" x14ac:dyDescent="0.25">
      <c r="B107" s="136">
        <v>261</v>
      </c>
      <c r="C107" s="137"/>
      <c r="D107" s="138"/>
      <c r="E107" s="71"/>
      <c r="F107" s="72"/>
      <c r="G107" s="72"/>
      <c r="H107" s="72"/>
      <c r="I107" s="72">
        <v>1</v>
      </c>
      <c r="J107" s="72">
        <v>2</v>
      </c>
      <c r="K107" s="72">
        <v>2</v>
      </c>
      <c r="L107" s="72"/>
      <c r="M107" s="72"/>
      <c r="N107" s="72">
        <v>2</v>
      </c>
      <c r="O107" s="72">
        <v>2</v>
      </c>
      <c r="P107" s="72"/>
      <c r="Q107" s="72"/>
      <c r="R107" s="72"/>
      <c r="S107" s="72">
        <v>2</v>
      </c>
      <c r="T107" s="72"/>
      <c r="U107" s="72"/>
      <c r="V107" s="72">
        <v>2</v>
      </c>
      <c r="W107" s="72">
        <v>2</v>
      </c>
      <c r="X107" s="72"/>
      <c r="Y107" s="72"/>
      <c r="Z107" s="72"/>
      <c r="AA107" s="71"/>
      <c r="AB107" s="72"/>
      <c r="AC107" s="71"/>
      <c r="AD107" s="72"/>
      <c r="AE107" s="91"/>
      <c r="AF107" s="72"/>
      <c r="AG107" s="72"/>
      <c r="AH107" s="72"/>
      <c r="AI107" s="72"/>
      <c r="AJ107" s="71"/>
      <c r="AK107" s="71"/>
      <c r="AL107" s="71"/>
      <c r="AM107" s="71"/>
    </row>
    <row r="108" spans="2:39" ht="15" customHeight="1" x14ac:dyDescent="0.25">
      <c r="B108" s="136">
        <v>344</v>
      </c>
      <c r="C108" s="137"/>
      <c r="D108" s="138"/>
      <c r="E108" s="71"/>
      <c r="F108" s="72"/>
      <c r="G108" s="72"/>
      <c r="H108" s="71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1"/>
      <c r="AB108" s="72"/>
      <c r="AC108" s="71"/>
      <c r="AD108" s="72"/>
      <c r="AE108" s="91"/>
      <c r="AF108" s="71"/>
      <c r="AG108" s="72"/>
      <c r="AH108" s="72"/>
      <c r="AI108" s="72"/>
      <c r="AJ108" s="71"/>
      <c r="AK108" s="71"/>
      <c r="AL108" s="71"/>
      <c r="AM108" s="71"/>
    </row>
    <row r="109" spans="2:39" ht="15" customHeight="1" x14ac:dyDescent="0.25">
      <c r="B109" s="136">
        <v>958</v>
      </c>
      <c r="C109" s="137"/>
      <c r="D109" s="138"/>
      <c r="E109" s="71"/>
      <c r="F109" s="72"/>
      <c r="G109" s="72"/>
      <c r="H109" s="71"/>
      <c r="I109" s="71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1"/>
      <c r="AB109" s="72"/>
      <c r="AC109" s="71"/>
      <c r="AD109" s="72"/>
      <c r="AE109" s="91"/>
      <c r="AF109" s="71"/>
      <c r="AG109" s="72"/>
      <c r="AH109" s="72"/>
      <c r="AI109" s="72"/>
      <c r="AJ109" s="71"/>
      <c r="AK109" s="71"/>
      <c r="AL109" s="71"/>
      <c r="AM109" s="71"/>
    </row>
    <row r="110" spans="2:39" ht="15" customHeight="1" x14ac:dyDescent="0.25">
      <c r="B110" s="136">
        <v>358</v>
      </c>
      <c r="C110" s="137"/>
      <c r="D110" s="138"/>
      <c r="E110" s="71"/>
      <c r="F110" s="72"/>
      <c r="G110" s="72"/>
      <c r="H110" s="71"/>
      <c r="I110" s="71"/>
      <c r="J110" s="71"/>
      <c r="K110" s="72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2"/>
      <c r="AC110" s="71"/>
      <c r="AD110" s="72"/>
      <c r="AE110" s="91"/>
      <c r="AF110" s="71"/>
      <c r="AG110" s="72"/>
      <c r="AH110" s="72"/>
      <c r="AI110" s="72"/>
      <c r="AJ110" s="71"/>
      <c r="AK110" s="71"/>
      <c r="AL110" s="71"/>
      <c r="AM110" s="71"/>
    </row>
    <row r="111" spans="2:39" ht="15" customHeight="1" x14ac:dyDescent="0.25">
      <c r="B111" s="136">
        <v>928</v>
      </c>
      <c r="C111" s="137"/>
      <c r="D111" s="138"/>
      <c r="E111" s="71"/>
      <c r="F111" s="72"/>
      <c r="G111" s="72"/>
      <c r="H111" s="72">
        <v>2</v>
      </c>
      <c r="I111" s="72">
        <v>2</v>
      </c>
      <c r="J111" s="72">
        <v>2</v>
      </c>
      <c r="K111" s="72">
        <v>2</v>
      </c>
      <c r="L111" s="72">
        <v>2</v>
      </c>
      <c r="M111" s="72"/>
      <c r="N111" s="72">
        <v>2</v>
      </c>
      <c r="O111" s="72">
        <v>2</v>
      </c>
      <c r="P111" s="72"/>
      <c r="Q111" s="72"/>
      <c r="R111" s="72"/>
      <c r="S111" s="72">
        <v>2</v>
      </c>
      <c r="T111" s="72"/>
      <c r="U111" s="72">
        <v>2</v>
      </c>
      <c r="V111" s="72">
        <v>2</v>
      </c>
      <c r="W111" s="72">
        <v>2</v>
      </c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</row>
    <row r="112" spans="2:39" ht="15" customHeight="1" x14ac:dyDescent="0.25">
      <c r="B112" s="136">
        <v>581</v>
      </c>
      <c r="C112" s="137"/>
      <c r="D112" s="138"/>
      <c r="E112" s="71"/>
      <c r="F112" s="71"/>
      <c r="G112" s="72"/>
      <c r="H112" s="72"/>
      <c r="I112" s="71"/>
      <c r="J112" s="71"/>
      <c r="K112" s="72"/>
      <c r="L112" s="71"/>
      <c r="M112" s="71"/>
      <c r="N112" s="71"/>
      <c r="O112" s="71"/>
      <c r="P112" s="71"/>
      <c r="Q112" s="71"/>
      <c r="R112" s="71"/>
      <c r="S112" s="72"/>
      <c r="T112" s="72"/>
      <c r="U112" s="72"/>
      <c r="V112" s="71"/>
      <c r="W112" s="71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</row>
    <row r="113" spans="2:39" ht="15" customHeight="1" x14ac:dyDescent="0.25">
      <c r="B113" s="136">
        <v>683</v>
      </c>
      <c r="C113" s="137"/>
      <c r="D113" s="138"/>
      <c r="E113" s="71"/>
      <c r="F113" s="71"/>
      <c r="G113" s="72"/>
      <c r="H113" s="72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2"/>
      <c r="T113" s="72"/>
      <c r="U113" s="72"/>
      <c r="V113" s="71"/>
      <c r="W113" s="71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</row>
    <row r="114" spans="2:39" ht="15" customHeight="1" x14ac:dyDescent="0.25">
      <c r="B114" s="136">
        <v>531</v>
      </c>
      <c r="C114" s="137"/>
      <c r="D114" s="138"/>
      <c r="E114" s="71"/>
      <c r="F114" s="71"/>
      <c r="G114" s="72"/>
      <c r="H114" s="72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2"/>
      <c r="T114" s="72"/>
      <c r="U114" s="72"/>
      <c r="V114" s="71"/>
      <c r="W114" s="71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</row>
    <row r="115" spans="2:39" ht="15" customHeight="1" x14ac:dyDescent="0.25">
      <c r="B115" s="136">
        <v>926</v>
      </c>
      <c r="C115" s="137"/>
      <c r="D115" s="138"/>
      <c r="E115" s="71"/>
      <c r="F115" s="71"/>
      <c r="G115" s="72"/>
      <c r="H115" s="72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2"/>
      <c r="T115" s="72"/>
      <c r="U115" s="72"/>
      <c r="V115" s="71"/>
      <c r="W115" s="71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</row>
    <row r="116" spans="2:39" ht="15" customHeight="1" x14ac:dyDescent="0.25">
      <c r="B116" s="136">
        <v>285</v>
      </c>
      <c r="C116" s="137"/>
      <c r="D116" s="138"/>
      <c r="E116" s="71"/>
      <c r="F116" s="71"/>
      <c r="G116" s="72"/>
      <c r="H116" s="72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2"/>
      <c r="T116" s="72"/>
      <c r="U116" s="72"/>
      <c r="V116" s="71"/>
      <c r="W116" s="71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</row>
    <row r="117" spans="2:39" ht="15" customHeight="1" x14ac:dyDescent="0.25">
      <c r="B117" s="136">
        <v>357</v>
      </c>
      <c r="C117" s="137"/>
      <c r="D117" s="138"/>
      <c r="E117" s="71"/>
      <c r="F117" s="71"/>
      <c r="G117" s="72"/>
      <c r="H117" s="72">
        <v>2</v>
      </c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2"/>
      <c r="T117" s="72"/>
      <c r="U117" s="72"/>
      <c r="V117" s="71"/>
      <c r="W117" s="71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</row>
    <row r="118" spans="2:39" ht="15" customHeight="1" x14ac:dyDescent="0.25">
      <c r="B118" s="136">
        <v>255</v>
      </c>
      <c r="C118" s="137"/>
      <c r="D118" s="138"/>
      <c r="E118" s="71"/>
      <c r="F118" s="71"/>
      <c r="G118" s="72"/>
      <c r="H118" s="72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2"/>
      <c r="T118" s="72"/>
      <c r="U118" s="72"/>
      <c r="V118" s="71"/>
      <c r="W118" s="72">
        <v>2</v>
      </c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</row>
  </sheetData>
  <mergeCells count="161">
    <mergeCell ref="B49:B50"/>
    <mergeCell ref="B43:AM43"/>
    <mergeCell ref="B44:C44"/>
    <mergeCell ref="B45:B46"/>
    <mergeCell ref="D45:D46"/>
    <mergeCell ref="AK45:AK46"/>
    <mergeCell ref="AL45:AL46"/>
    <mergeCell ref="AM45:AM46"/>
    <mergeCell ref="B47:B48"/>
    <mergeCell ref="D47:D48"/>
    <mergeCell ref="AK47:AK48"/>
    <mergeCell ref="AL47:AL48"/>
    <mergeCell ref="AM47:AM48"/>
    <mergeCell ref="B117:D117"/>
    <mergeCell ref="B116:D116"/>
    <mergeCell ref="B110:D110"/>
    <mergeCell ref="B111:D111"/>
    <mergeCell ref="B112:D112"/>
    <mergeCell ref="B113:D113"/>
    <mergeCell ref="B114:D114"/>
    <mergeCell ref="B115:D115"/>
    <mergeCell ref="B104:D104"/>
    <mergeCell ref="B105:D105"/>
    <mergeCell ref="B106:D106"/>
    <mergeCell ref="B107:D107"/>
    <mergeCell ref="B108:D108"/>
    <mergeCell ref="B109:D109"/>
    <mergeCell ref="B98:D98"/>
    <mergeCell ref="B99:D99"/>
    <mergeCell ref="B100:D100"/>
    <mergeCell ref="B101:D101"/>
    <mergeCell ref="B102:D102"/>
    <mergeCell ref="B103:D103"/>
    <mergeCell ref="B93:B94"/>
    <mergeCell ref="D93:D94"/>
    <mergeCell ref="AK93:AK94"/>
    <mergeCell ref="AL93:AL94"/>
    <mergeCell ref="AM93:AM94"/>
    <mergeCell ref="B95:B96"/>
    <mergeCell ref="B88:AM88"/>
    <mergeCell ref="B89:AM89"/>
    <mergeCell ref="B90:C90"/>
    <mergeCell ref="B91:B92"/>
    <mergeCell ref="D91:D92"/>
    <mergeCell ref="AK91:AK92"/>
    <mergeCell ref="AL91:AL92"/>
    <mergeCell ref="AM91:AM92"/>
    <mergeCell ref="B83:B84"/>
    <mergeCell ref="D83:D84"/>
    <mergeCell ref="AK83:AK84"/>
    <mergeCell ref="AL83:AL84"/>
    <mergeCell ref="AM83:AM84"/>
    <mergeCell ref="B85:B86"/>
    <mergeCell ref="B79:AM79"/>
    <mergeCell ref="B80:C80"/>
    <mergeCell ref="B81:B82"/>
    <mergeCell ref="D81:D82"/>
    <mergeCell ref="AK81:AK82"/>
    <mergeCell ref="AL81:AL82"/>
    <mergeCell ref="AM81:AM82"/>
    <mergeCell ref="B74:B75"/>
    <mergeCell ref="D74:D75"/>
    <mergeCell ref="AK74:AK75"/>
    <mergeCell ref="AL74:AL75"/>
    <mergeCell ref="AM74:AM75"/>
    <mergeCell ref="B76:B77"/>
    <mergeCell ref="B70:AM70"/>
    <mergeCell ref="B71:C71"/>
    <mergeCell ref="B72:B73"/>
    <mergeCell ref="D72:D73"/>
    <mergeCell ref="AK72:AK73"/>
    <mergeCell ref="AL72:AL73"/>
    <mergeCell ref="AM72:AM73"/>
    <mergeCell ref="B65:B66"/>
    <mergeCell ref="D65:D66"/>
    <mergeCell ref="AK65:AK66"/>
    <mergeCell ref="AL65:AL66"/>
    <mergeCell ref="AM65:AM66"/>
    <mergeCell ref="B67:B68"/>
    <mergeCell ref="B61:AM61"/>
    <mergeCell ref="B62:C62"/>
    <mergeCell ref="B63:B64"/>
    <mergeCell ref="D63:D64"/>
    <mergeCell ref="AK63:AK64"/>
    <mergeCell ref="AL63:AL64"/>
    <mergeCell ref="AM63:AM64"/>
    <mergeCell ref="B56:B57"/>
    <mergeCell ref="D56:D57"/>
    <mergeCell ref="AK56:AK57"/>
    <mergeCell ref="AL56:AL57"/>
    <mergeCell ref="AM56:AM57"/>
    <mergeCell ref="B58:B59"/>
    <mergeCell ref="B52:AM52"/>
    <mergeCell ref="B53:C53"/>
    <mergeCell ref="B54:B55"/>
    <mergeCell ref="D54:D55"/>
    <mergeCell ref="AK54:AK55"/>
    <mergeCell ref="AL54:AL55"/>
    <mergeCell ref="AM54:AM55"/>
    <mergeCell ref="B38:B39"/>
    <mergeCell ref="D38:D39"/>
    <mergeCell ref="AK38:AK39"/>
    <mergeCell ref="AL38:AL39"/>
    <mergeCell ref="AM38:AM39"/>
    <mergeCell ref="B40:B41"/>
    <mergeCell ref="B34:AM34"/>
    <mergeCell ref="B35:C35"/>
    <mergeCell ref="B36:B37"/>
    <mergeCell ref="D36:D37"/>
    <mergeCell ref="AK36:AK37"/>
    <mergeCell ref="AL36:AL37"/>
    <mergeCell ref="AM36:AM37"/>
    <mergeCell ref="B29:B30"/>
    <mergeCell ref="D29:D30"/>
    <mergeCell ref="AK29:AK30"/>
    <mergeCell ref="AL29:AL30"/>
    <mergeCell ref="AM29:AM30"/>
    <mergeCell ref="B31:B32"/>
    <mergeCell ref="B25:AM25"/>
    <mergeCell ref="B26:C26"/>
    <mergeCell ref="B27:B28"/>
    <mergeCell ref="D27:D28"/>
    <mergeCell ref="AK27:AK28"/>
    <mergeCell ref="AL27:AL28"/>
    <mergeCell ref="AM27:AM28"/>
    <mergeCell ref="D20:D21"/>
    <mergeCell ref="AK20:AK21"/>
    <mergeCell ref="AL20:AL21"/>
    <mergeCell ref="AM20:AM21"/>
    <mergeCell ref="B22:B23"/>
    <mergeCell ref="B16:AM16"/>
    <mergeCell ref="B17:C17"/>
    <mergeCell ref="B18:B19"/>
    <mergeCell ref="D18:D19"/>
    <mergeCell ref="AK18:AK19"/>
    <mergeCell ref="AL18:AL19"/>
    <mergeCell ref="AM18:AM19"/>
    <mergeCell ref="B118:D118"/>
    <mergeCell ref="O2:Z2"/>
    <mergeCell ref="AH2:AM2"/>
    <mergeCell ref="B3:AM3"/>
    <mergeCell ref="B4:D4"/>
    <mergeCell ref="E4:E6"/>
    <mergeCell ref="F4:AM4"/>
    <mergeCell ref="B5:D5"/>
    <mergeCell ref="AK5:AM5"/>
    <mergeCell ref="B6:D6"/>
    <mergeCell ref="B11:B12"/>
    <mergeCell ref="D11:D12"/>
    <mergeCell ref="AK11:AK12"/>
    <mergeCell ref="AL11:AL12"/>
    <mergeCell ref="AM11:AM12"/>
    <mergeCell ref="B13:B14"/>
    <mergeCell ref="B7:AM7"/>
    <mergeCell ref="B8:C8"/>
    <mergeCell ref="B9:B10"/>
    <mergeCell ref="D9:D10"/>
    <mergeCell ref="AK9:AK10"/>
    <mergeCell ref="AL9:AL10"/>
    <mergeCell ref="AM9:AM10"/>
    <mergeCell ref="B20:B21"/>
  </mergeCells>
  <pageMargins left="0.70866099999999987" right="0.70866099999999987" top="0.748031" bottom="0.748031" header="0.31496099999999999" footer="0.31496099999999999"/>
  <pageSetup paperSize="9" scale="2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2"/>
  <dimension ref="A1:I38"/>
  <sheetViews>
    <sheetView workbookViewId="0">
      <selection activeCell="D31" sqref="D31"/>
    </sheetView>
  </sheetViews>
  <sheetFormatPr defaultRowHeight="15" customHeight="1" x14ac:dyDescent="0.25"/>
  <cols>
    <col min="1" max="1" width="4.28515625" customWidth="1"/>
    <col min="2" max="2" width="24.7109375" customWidth="1"/>
    <col min="3" max="3" width="17.7109375" customWidth="1"/>
    <col min="4" max="4" width="12.7109375" customWidth="1"/>
    <col min="5" max="5" width="16.42578125" customWidth="1"/>
  </cols>
  <sheetData>
    <row r="1" spans="1:9" ht="18.75" x14ac:dyDescent="0.3">
      <c r="A1" s="142" t="s">
        <v>37</v>
      </c>
      <c r="B1" s="142"/>
      <c r="C1" s="142"/>
      <c r="D1" s="142"/>
      <c r="E1" s="142"/>
    </row>
    <row r="2" spans="1:9" ht="18.75" x14ac:dyDescent="0.3">
      <c r="A2" s="73" t="s">
        <v>38</v>
      </c>
      <c r="B2" s="73" t="s">
        <v>39</v>
      </c>
      <c r="C2" s="73" t="s">
        <v>40</v>
      </c>
      <c r="D2" s="73" t="s">
        <v>41</v>
      </c>
      <c r="E2" s="73" t="s">
        <v>42</v>
      </c>
    </row>
    <row r="3" spans="1:9" ht="18.75" x14ac:dyDescent="0.3">
      <c r="A3" s="73"/>
      <c r="B3" s="139" t="s">
        <v>43</v>
      </c>
      <c r="C3" s="140"/>
      <c r="D3" s="140"/>
      <c r="E3" s="141"/>
    </row>
    <row r="4" spans="1:9" ht="18.75" x14ac:dyDescent="0.3">
      <c r="A4" s="73">
        <v>1</v>
      </c>
      <c r="B4" s="74"/>
      <c r="C4" s="28" t="s">
        <v>44</v>
      </c>
      <c r="D4" s="74" t="s">
        <v>45</v>
      </c>
      <c r="E4" s="74"/>
    </row>
    <row r="5" spans="1:9" ht="18.75" x14ac:dyDescent="0.3">
      <c r="A5" s="73">
        <v>2</v>
      </c>
      <c r="B5" s="74"/>
      <c r="C5" s="28" t="s">
        <v>44</v>
      </c>
      <c r="D5" s="74" t="s">
        <v>46</v>
      </c>
      <c r="E5" s="74"/>
      <c r="G5" s="21"/>
      <c r="H5" s="21"/>
      <c r="I5" s="21"/>
    </row>
    <row r="6" spans="1:9" ht="18.75" x14ac:dyDescent="0.3">
      <c r="A6" s="73">
        <v>3</v>
      </c>
      <c r="B6" s="74"/>
      <c r="C6" s="28" t="s">
        <v>44</v>
      </c>
      <c r="D6" s="74" t="s">
        <v>47</v>
      </c>
      <c r="E6" s="74"/>
      <c r="G6" s="21"/>
      <c r="H6" s="21"/>
      <c r="I6" s="21"/>
    </row>
    <row r="7" spans="1:9" ht="18.75" x14ac:dyDescent="0.3">
      <c r="A7" s="73">
        <v>4</v>
      </c>
      <c r="B7" s="74"/>
      <c r="C7" s="28" t="s">
        <v>44</v>
      </c>
      <c r="D7" s="74" t="s">
        <v>48</v>
      </c>
      <c r="E7" s="74"/>
      <c r="G7" s="75"/>
      <c r="H7" s="75"/>
      <c r="I7" s="21"/>
    </row>
    <row r="8" spans="1:9" ht="18.75" x14ac:dyDescent="0.3">
      <c r="A8" s="73">
        <v>5</v>
      </c>
      <c r="B8" s="74"/>
      <c r="C8" s="28" t="s">
        <v>49</v>
      </c>
      <c r="D8" s="28" t="s">
        <v>50</v>
      </c>
      <c r="E8" s="74"/>
      <c r="G8" s="21"/>
      <c r="H8" s="21"/>
      <c r="I8" s="21"/>
    </row>
    <row r="9" spans="1:9" ht="18.75" x14ac:dyDescent="0.3">
      <c r="A9" s="73">
        <v>6</v>
      </c>
      <c r="B9" s="74"/>
      <c r="C9" s="74" t="s">
        <v>51</v>
      </c>
      <c r="D9" s="28">
        <v>9178</v>
      </c>
      <c r="E9" s="74"/>
      <c r="G9" s="21"/>
      <c r="H9" s="21"/>
      <c r="I9" s="21"/>
    </row>
    <row r="10" spans="1:9" ht="18.75" x14ac:dyDescent="0.3">
      <c r="A10" s="73">
        <v>7</v>
      </c>
      <c r="B10" s="74"/>
      <c r="C10" s="74" t="s">
        <v>52</v>
      </c>
      <c r="D10" s="28" t="s">
        <v>53</v>
      </c>
      <c r="E10" s="74"/>
    </row>
    <row r="11" spans="1:9" ht="18.75" x14ac:dyDescent="0.3">
      <c r="A11" s="73">
        <v>8</v>
      </c>
      <c r="B11" s="74"/>
      <c r="C11" s="74" t="s">
        <v>52</v>
      </c>
      <c r="D11" s="28" t="s">
        <v>54</v>
      </c>
      <c r="E11" s="74"/>
    </row>
    <row r="12" spans="1:9" ht="18.75" x14ac:dyDescent="0.3">
      <c r="A12" s="73">
        <v>9</v>
      </c>
      <c r="B12" s="74"/>
      <c r="C12" s="74" t="s">
        <v>52</v>
      </c>
      <c r="D12" s="28">
        <v>4465</v>
      </c>
      <c r="E12" s="74"/>
    </row>
    <row r="13" spans="1:9" ht="18.75" x14ac:dyDescent="0.3">
      <c r="A13" s="73"/>
      <c r="B13" s="74"/>
      <c r="C13" s="74" t="s">
        <v>55</v>
      </c>
      <c r="D13" s="28"/>
      <c r="E13" s="74"/>
    </row>
    <row r="14" spans="1:9" ht="18.75" x14ac:dyDescent="0.3">
      <c r="A14" s="73"/>
      <c r="B14" s="74"/>
    </row>
    <row r="15" spans="1:9" ht="18.75" x14ac:dyDescent="0.3">
      <c r="A15" s="73">
        <v>10</v>
      </c>
      <c r="B15" s="74"/>
      <c r="C15" s="74" t="s">
        <v>52</v>
      </c>
      <c r="D15" s="28" t="s">
        <v>56</v>
      </c>
      <c r="E15" s="74"/>
    </row>
    <row r="16" spans="1:9" ht="18.75" x14ac:dyDescent="0.3">
      <c r="A16" s="73">
        <v>11</v>
      </c>
      <c r="B16" s="139" t="s">
        <v>57</v>
      </c>
      <c r="C16" s="140"/>
      <c r="D16" s="140"/>
      <c r="E16" s="141"/>
    </row>
    <row r="17" spans="1:5" ht="18.75" x14ac:dyDescent="0.3">
      <c r="A17" s="73">
        <v>12</v>
      </c>
      <c r="B17" s="69"/>
      <c r="C17" s="28" t="s">
        <v>58</v>
      </c>
      <c r="D17" s="28" t="s">
        <v>59</v>
      </c>
      <c r="E17" s="70"/>
    </row>
    <row r="18" spans="1:5" ht="18.75" x14ac:dyDescent="0.3">
      <c r="A18" s="73">
        <v>13</v>
      </c>
      <c r="B18" s="69"/>
      <c r="C18" s="28" t="s">
        <v>60</v>
      </c>
      <c r="D18" s="28">
        <v>5535</v>
      </c>
      <c r="E18" s="70"/>
    </row>
    <row r="19" spans="1:5" ht="18.75" x14ac:dyDescent="0.3">
      <c r="A19" s="73">
        <v>14</v>
      </c>
      <c r="B19" s="74"/>
      <c r="C19" s="74" t="s">
        <v>61</v>
      </c>
      <c r="D19" s="74" t="s">
        <v>62</v>
      </c>
      <c r="E19" s="74"/>
    </row>
    <row r="20" spans="1:5" ht="18.75" x14ac:dyDescent="0.3">
      <c r="A20" s="73">
        <v>15</v>
      </c>
      <c r="B20" s="74"/>
      <c r="C20" s="74" t="s">
        <v>63</v>
      </c>
      <c r="D20" s="74" t="s">
        <v>64</v>
      </c>
      <c r="E20" s="74"/>
    </row>
    <row r="21" spans="1:5" ht="18.75" x14ac:dyDescent="0.3">
      <c r="A21" s="73">
        <v>16</v>
      </c>
      <c r="B21" s="139" t="s">
        <v>65</v>
      </c>
      <c r="C21" s="140"/>
      <c r="D21" s="140"/>
      <c r="E21" s="141"/>
    </row>
    <row r="22" spans="1:5" ht="18.75" x14ac:dyDescent="0.3">
      <c r="A22" s="73">
        <v>17</v>
      </c>
      <c r="B22" s="74" t="s">
        <v>66</v>
      </c>
      <c r="C22" s="74" t="s">
        <v>67</v>
      </c>
      <c r="D22" s="74">
        <v>5812</v>
      </c>
      <c r="E22" s="74"/>
    </row>
    <row r="23" spans="1:5" ht="18.75" x14ac:dyDescent="0.3">
      <c r="A23" s="73">
        <v>18</v>
      </c>
      <c r="B23" s="74" t="s">
        <v>66</v>
      </c>
      <c r="C23" s="74" t="s">
        <v>67</v>
      </c>
      <c r="D23" s="74">
        <v>5813</v>
      </c>
      <c r="E23" s="74"/>
    </row>
    <row r="24" spans="1:5" ht="18.75" x14ac:dyDescent="0.3">
      <c r="A24" s="73">
        <v>19</v>
      </c>
      <c r="B24" s="74" t="s">
        <v>66</v>
      </c>
      <c r="C24" s="74" t="s">
        <v>68</v>
      </c>
      <c r="D24" s="74">
        <v>601</v>
      </c>
      <c r="E24" s="74"/>
    </row>
    <row r="25" spans="1:5" ht="18.75" x14ac:dyDescent="0.3">
      <c r="A25" s="73">
        <v>20</v>
      </c>
      <c r="B25" s="74" t="s">
        <v>66</v>
      </c>
      <c r="C25" s="74" t="s">
        <v>69</v>
      </c>
      <c r="D25" s="74">
        <v>602</v>
      </c>
      <c r="E25" s="74"/>
    </row>
    <row r="26" spans="1:5" ht="18.75" x14ac:dyDescent="0.3">
      <c r="A26" s="73">
        <v>21</v>
      </c>
      <c r="B26" s="74"/>
      <c r="C26" s="74" t="s">
        <v>70</v>
      </c>
      <c r="D26" s="74">
        <v>1811</v>
      </c>
      <c r="E26" s="74"/>
    </row>
    <row r="27" spans="1:5" ht="18.75" x14ac:dyDescent="0.3">
      <c r="A27" s="73">
        <v>22</v>
      </c>
      <c r="B27" s="74"/>
      <c r="C27" s="74" t="s">
        <v>71</v>
      </c>
      <c r="D27" s="74" t="s">
        <v>72</v>
      </c>
      <c r="E27" s="74"/>
    </row>
    <row r="28" spans="1:5" ht="18.75" x14ac:dyDescent="0.3">
      <c r="A28" s="73">
        <v>23</v>
      </c>
      <c r="B28" s="139" t="s">
        <v>73</v>
      </c>
      <c r="C28" s="140"/>
      <c r="D28" s="140"/>
      <c r="E28" s="141"/>
    </row>
    <row r="29" spans="1:5" ht="18.75" x14ac:dyDescent="0.3">
      <c r="A29" s="73">
        <v>24</v>
      </c>
      <c r="B29" s="74"/>
      <c r="C29" s="74" t="s">
        <v>74</v>
      </c>
      <c r="D29" s="74">
        <v>1694</v>
      </c>
      <c r="E29" s="74"/>
    </row>
    <row r="30" spans="1:5" ht="18.75" x14ac:dyDescent="0.3">
      <c r="A30" s="73">
        <v>25</v>
      </c>
      <c r="B30" s="74"/>
      <c r="C30" s="74" t="s">
        <v>74</v>
      </c>
      <c r="D30" s="74">
        <v>7501</v>
      </c>
      <c r="E30" s="74"/>
    </row>
    <row r="31" spans="1:5" ht="18.75" x14ac:dyDescent="0.3">
      <c r="A31" s="73">
        <v>26</v>
      </c>
      <c r="B31" s="74"/>
      <c r="C31" s="74" t="s">
        <v>75</v>
      </c>
      <c r="D31" s="74" t="s">
        <v>76</v>
      </c>
      <c r="E31" s="74"/>
    </row>
    <row r="32" spans="1:5" ht="18.75" x14ac:dyDescent="0.3">
      <c r="A32" s="73">
        <v>27</v>
      </c>
      <c r="B32" s="74"/>
      <c r="C32" s="74" t="s">
        <v>75</v>
      </c>
      <c r="D32" s="74" t="s">
        <v>77</v>
      </c>
      <c r="E32" s="74"/>
    </row>
    <row r="33" spans="1:5" ht="18.75" x14ac:dyDescent="0.3">
      <c r="A33" s="73">
        <v>28</v>
      </c>
      <c r="B33" s="74"/>
      <c r="C33" s="74" t="s">
        <v>75</v>
      </c>
      <c r="D33" s="74">
        <v>2185</v>
      </c>
      <c r="E33" s="74"/>
    </row>
    <row r="34" spans="1:5" ht="18.75" x14ac:dyDescent="0.3">
      <c r="A34" s="73">
        <v>29</v>
      </c>
      <c r="B34" s="74"/>
      <c r="C34" s="74" t="s">
        <v>75</v>
      </c>
      <c r="D34" s="74">
        <v>2188</v>
      </c>
      <c r="E34" s="74"/>
    </row>
    <row r="35" spans="1:5" ht="18.75" x14ac:dyDescent="0.3">
      <c r="A35" s="73">
        <v>30</v>
      </c>
      <c r="B35" s="139" t="s">
        <v>78</v>
      </c>
      <c r="C35" s="140"/>
      <c r="D35" s="140"/>
      <c r="E35" s="141"/>
    </row>
    <row r="36" spans="1:5" ht="18.75" x14ac:dyDescent="0.3">
      <c r="A36" s="73">
        <v>31</v>
      </c>
      <c r="B36" s="74" t="s">
        <v>79</v>
      </c>
      <c r="C36" s="76" t="s">
        <v>80</v>
      </c>
      <c r="D36" s="74"/>
      <c r="E36" s="77" t="s">
        <v>81</v>
      </c>
    </row>
    <row r="37" spans="1:5" ht="18.75" x14ac:dyDescent="0.3">
      <c r="A37" s="73">
        <v>32</v>
      </c>
      <c r="B37" s="71"/>
      <c r="C37" s="78" t="s">
        <v>82</v>
      </c>
      <c r="D37" s="71"/>
      <c r="E37" s="77" t="s">
        <v>81</v>
      </c>
    </row>
    <row r="38" spans="1:5" ht="31.5" x14ac:dyDescent="0.25">
      <c r="B38" s="79" t="s">
        <v>83</v>
      </c>
      <c r="C38" s="74" t="s">
        <v>84</v>
      </c>
      <c r="D38" s="28"/>
      <c r="E38" s="80" t="s">
        <v>85</v>
      </c>
    </row>
  </sheetData>
  <mergeCells count="6">
    <mergeCell ref="B35:E35"/>
    <mergeCell ref="A1:E1"/>
    <mergeCell ref="B3:E3"/>
    <mergeCell ref="B16:E16"/>
    <mergeCell ref="B21:E21"/>
    <mergeCell ref="B28:E28"/>
  </mergeCells>
  <pageMargins left="0.7" right="0.7" top="0.75" bottom="0.75" header="0.3" footer="0.3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B2:E28"/>
  <sheetViews>
    <sheetView workbookViewId="0">
      <selection activeCell="F6" sqref="F6"/>
    </sheetView>
  </sheetViews>
  <sheetFormatPr defaultRowHeight="15" x14ac:dyDescent="0.25"/>
  <cols>
    <col min="2" max="2" width="10.140625" bestFit="1" customWidth="1"/>
  </cols>
  <sheetData>
    <row r="2" spans="2:5" x14ac:dyDescent="0.25">
      <c r="E2" s="21" t="s">
        <v>86</v>
      </c>
    </row>
    <row r="3" spans="2:5" x14ac:dyDescent="0.25">
      <c r="B3" s="81">
        <v>45866</v>
      </c>
      <c r="C3">
        <v>288</v>
      </c>
      <c r="D3">
        <v>180</v>
      </c>
    </row>
    <row r="4" spans="2:5" x14ac:dyDescent="0.25">
      <c r="B4" s="81">
        <v>45867</v>
      </c>
      <c r="C4">
        <v>144</v>
      </c>
      <c r="D4">
        <v>252</v>
      </c>
    </row>
    <row r="5" spans="2:5" x14ac:dyDescent="0.25">
      <c r="B5" s="81">
        <v>45868</v>
      </c>
      <c r="C5">
        <v>216</v>
      </c>
    </row>
    <row r="6" spans="2:5" x14ac:dyDescent="0.25">
      <c r="B6" s="81">
        <v>45869</v>
      </c>
      <c r="C6">
        <v>306</v>
      </c>
      <c r="D6">
        <v>180</v>
      </c>
    </row>
    <row r="7" spans="2:5" x14ac:dyDescent="0.25">
      <c r="B7" s="81">
        <v>45870</v>
      </c>
      <c r="C7">
        <v>90</v>
      </c>
      <c r="D7">
        <v>270</v>
      </c>
    </row>
    <row r="8" spans="2:5" x14ac:dyDescent="0.25">
      <c r="B8" s="81">
        <v>45871</v>
      </c>
      <c r="C8">
        <v>324</v>
      </c>
      <c r="D8">
        <v>126</v>
      </c>
    </row>
    <row r="9" spans="2:5" x14ac:dyDescent="0.25">
      <c r="B9" s="81">
        <v>45872</v>
      </c>
      <c r="C9">
        <v>90</v>
      </c>
      <c r="D9">
        <v>216</v>
      </c>
    </row>
    <row r="10" spans="2:5" x14ac:dyDescent="0.25">
      <c r="B10" s="81">
        <v>45873</v>
      </c>
      <c r="C10">
        <v>90</v>
      </c>
      <c r="D10">
        <v>342</v>
      </c>
    </row>
    <row r="11" spans="2:5" x14ac:dyDescent="0.25">
      <c r="B11" s="81">
        <v>45874</v>
      </c>
      <c r="C11">
        <v>126</v>
      </c>
      <c r="D11">
        <v>360</v>
      </c>
    </row>
    <row r="12" spans="2:5" x14ac:dyDescent="0.25">
      <c r="B12" s="81">
        <v>45875</v>
      </c>
      <c r="C12">
        <v>126</v>
      </c>
      <c r="D12">
        <v>288</v>
      </c>
    </row>
    <row r="13" spans="2:5" x14ac:dyDescent="0.25">
      <c r="B13" s="81">
        <v>45876</v>
      </c>
      <c r="C13">
        <v>108</v>
      </c>
      <c r="D13">
        <v>270</v>
      </c>
    </row>
    <row r="14" spans="2:5" x14ac:dyDescent="0.25">
      <c r="B14" s="81">
        <v>45877</v>
      </c>
    </row>
    <row r="15" spans="2:5" x14ac:dyDescent="0.25">
      <c r="B15" s="81">
        <v>45878</v>
      </c>
    </row>
    <row r="16" spans="2:5" x14ac:dyDescent="0.25">
      <c r="B16" s="81">
        <v>45879</v>
      </c>
    </row>
    <row r="17" spans="2:4" x14ac:dyDescent="0.25">
      <c r="B17" s="81">
        <v>45880</v>
      </c>
      <c r="D17">
        <v>108</v>
      </c>
    </row>
    <row r="18" spans="2:4" x14ac:dyDescent="0.25">
      <c r="B18" s="81">
        <v>45881</v>
      </c>
      <c r="C18">
        <v>306</v>
      </c>
      <c r="D18">
        <v>180</v>
      </c>
    </row>
    <row r="19" spans="2:4" x14ac:dyDescent="0.25">
      <c r="B19" s="81">
        <v>45882</v>
      </c>
      <c r="C19">
        <v>324</v>
      </c>
      <c r="D19">
        <v>108</v>
      </c>
    </row>
    <row r="20" spans="2:4" x14ac:dyDescent="0.25">
      <c r="B20" s="81">
        <v>45883</v>
      </c>
      <c r="C20">
        <v>270</v>
      </c>
      <c r="D20">
        <v>108</v>
      </c>
    </row>
    <row r="21" spans="2:4" x14ac:dyDescent="0.25">
      <c r="B21" s="81">
        <v>45884</v>
      </c>
      <c r="C21">
        <v>360</v>
      </c>
      <c r="D21">
        <v>108</v>
      </c>
    </row>
    <row r="22" spans="2:4" x14ac:dyDescent="0.25">
      <c r="B22" s="81">
        <v>45885</v>
      </c>
      <c r="C22">
        <v>162</v>
      </c>
      <c r="D22">
        <v>90</v>
      </c>
    </row>
    <row r="23" spans="2:4" x14ac:dyDescent="0.25">
      <c r="B23" s="81">
        <v>45886</v>
      </c>
      <c r="C23">
        <v>378</v>
      </c>
      <c r="D23">
        <v>162</v>
      </c>
    </row>
    <row r="24" spans="2:4" x14ac:dyDescent="0.25">
      <c r="B24" s="81"/>
    </row>
    <row r="25" spans="2:4" x14ac:dyDescent="0.25">
      <c r="B25" s="81"/>
      <c r="C25">
        <f>SUM(C3:D23)</f>
        <v>7056</v>
      </c>
    </row>
    <row r="26" spans="2:4" x14ac:dyDescent="0.25">
      <c r="B26" s="81"/>
    </row>
    <row r="27" spans="2:4" x14ac:dyDescent="0.25">
      <c r="B27" s="81"/>
    </row>
    <row r="28" spans="2:4" x14ac:dyDescent="0.25">
      <c r="B28" s="8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Октябрь</vt:lpstr>
      <vt:lpstr>Ноябрь</vt:lpstr>
      <vt:lpstr>Июнь</vt:lpstr>
      <vt:lpstr>Июль</vt:lpstr>
      <vt:lpstr>Август</vt:lpstr>
      <vt:lpstr>Техника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Черенев Иван Александрович</dc:creator>
  <cp:lastModifiedBy>Черенев Иван Александрович</cp:lastModifiedBy>
  <cp:revision>9</cp:revision>
  <dcterms:created xsi:type="dcterms:W3CDTF">2015-06-05T18:19:00Z</dcterms:created>
  <dcterms:modified xsi:type="dcterms:W3CDTF">2026-08-19T23:17:43Z</dcterms:modified>
  <cp:version>1048576</cp:version>
</cp:coreProperties>
</file>