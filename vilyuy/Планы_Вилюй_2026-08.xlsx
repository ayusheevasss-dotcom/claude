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Сменные работы" sheetId="2" state="visible" r:id="rId2"/>
    <sheet name="Капремонт ГК" sheetId="3" state="visible" r:id="rId3"/>
    <sheet name="Справо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2">
    <font>
      <name val="Calibri"/>
      <family val="2"/>
      <color theme="1"/>
      <sz val="11"/>
      <scheme val="minor"/>
    </font>
    <font>
      <b val="1"/>
      <color rgb="0015191E"/>
      <sz val="15"/>
    </font>
    <font>
      <sz val="10.5"/>
    </font>
    <font>
      <b val="1"/>
      <color rgb="001F4E8C"/>
      <sz val="12"/>
    </font>
    <font>
      <b val="1"/>
      <color rgb="00FFFFFF"/>
    </font>
    <font>
      <sz val="10"/>
    </font>
    <font>
      <b val="1"/>
      <color rgb="0015191E"/>
      <sz val="14"/>
    </font>
    <font>
      <color rgb="0046505B"/>
      <sz val="10.5"/>
    </font>
    <font>
      <b val="1"/>
      <color rgb="00FFFFFF"/>
      <sz val="10"/>
    </font>
    <font>
      <color rgb="008A939D"/>
      <sz val="8.5"/>
    </font>
    <font>
      <sz val="9.5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F3E9D2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ED4"/>
      </left>
      <right style="thin">
        <color rgb="00C9CED4"/>
      </right>
      <top style="thin">
        <color rgb="00C9CED4"/>
      </top>
      <bottom style="thin">
        <color rgb="00C9CED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164" fontId="10" fillId="3" borderId="1" pivotButton="0" quotePrefix="0" xfId="0"/>
    <xf numFmtId="164" fontId="10" fillId="0" borderId="1" pivotButton="0" quotePrefix="0" xfId="0"/>
    <xf numFmtId="164" fontId="11" fillId="4" borderId="1" pivotButton="0" quotePrefix="0" xfId="0"/>
    <xf numFmtId="164" fontId="0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1" customWidth="1" min="4" max="4"/>
    <col width="8" customWidth="1" min="5" max="5"/>
    <col width="40" customWidth="1" min="6" max="6"/>
    <col width="60" customWidth="1" min="7" max="7"/>
  </cols>
  <sheetData>
    <row r="1">
      <c r="A1" s="1" t="inlineStr">
        <is>
          <t>Планы работ участка «Вилюй» — август 2026 г.</t>
        </is>
      </c>
    </row>
    <row r="2">
      <c r="A2" s="2" t="inlineStr">
        <is>
          <t>Формат: один файл — один месяц, каждый проект участка — на своём листе.</t>
        </is>
      </c>
    </row>
    <row r="3">
      <c r="A3" s="2" t="inlineStr"/>
    </row>
    <row r="4">
      <c r="A4" s="3" t="inlineStr">
        <is>
          <t>Как заполнить лист проекта</t>
        </is>
      </c>
    </row>
    <row r="5">
      <c r="A5" s="2" t="inlineStr">
        <is>
          <t>1. Шапка листа: «План работ на &lt;месяц&gt; &lt;год&gt; г.», «Участок: Вилюй», «Проект: &lt;название&gt;», «Ответственный: &lt;ФИО&gt;».</t>
        </is>
      </c>
    </row>
    <row r="6">
      <c r="A6" s="2" t="inlineStr">
        <is>
          <t xml:space="preserve">    По строке «Проект» программа сама сопоставляет лист с проектом, название листа может быть любым.</t>
        </is>
      </c>
    </row>
    <row r="7">
      <c r="A7" s="2" t="inlineStr">
        <is>
          <t>2. Таблица: № | Наименование работ | Классификация | Ед. изм. | дни месяца 1 … 30 (31) | Итого за месяц.</t>
        </is>
      </c>
    </row>
    <row r="8">
      <c r="A8" s="2" t="inlineStr">
        <is>
          <t>3. В ячейке дня — плановый объём на этот день. Пустая ячейка — работа в этот день не планируется.</t>
        </is>
      </c>
    </row>
    <row r="9">
      <c r="A9" s="2" t="inlineStr">
        <is>
          <t>4. Классификация — выбор из списка (лист «Справочник»): определяет, в какой показатель отчёта попадёт работа.</t>
        </is>
      </c>
    </row>
    <row r="10">
      <c r="A10" s="2" t="inlineStr">
        <is>
          <t xml:space="preserve">    Объём суммируется в показатель, только если единица работы совпадает с единицей вида работ.</t>
        </is>
      </c>
    </row>
    <row r="11">
      <c r="A11" s="2" t="inlineStr">
        <is>
          <t>5. Строки-заголовки групп (например, «УДСК Лапчан») без чисел программа пропускает. «Итого» считается формулой.</t>
        </is>
      </c>
    </row>
    <row r="12">
      <c r="A12" s="2" t="inlineStr">
        <is>
          <t>6. Новая работа — новая строка. Названия работ не меняйте в течение месяца: по ним факт связывается с планом.</t>
        </is>
      </c>
    </row>
    <row r="13">
      <c r="A13" s="2" t="inlineStr"/>
    </row>
    <row r="14">
      <c r="A14" s="3" t="inlineStr">
        <is>
          <t>Загрузка в программу</t>
        </is>
      </c>
    </row>
    <row r="15">
      <c r="A15" s="2" t="inlineStr">
        <is>
          <t>Администратор → «Планы» → «Загрузка из Excel» → месяц → перетащить файл → проверить распознавание → «Загрузить».</t>
        </is>
      </c>
    </row>
    <row r="16">
      <c r="A16" s="2" t="inlineStr">
        <is>
          <t>Факт вносит ответственный проекта: «Ответственный» → участок «Вилюй» → свой проект → пароль → «Внесение объёмов».</t>
        </is>
      </c>
    </row>
    <row r="17">
      <c r="A17" s="2" t="inlineStr"/>
    </row>
    <row r="18">
      <c r="A18" s="3" t="inlineStr">
        <is>
          <t>Проекты участка</t>
        </is>
      </c>
    </row>
    <row r="19">
      <c r="A19" s="4" t="inlineStr">
        <is>
          <t>Лист</t>
        </is>
      </c>
      <c r="B19" s="4" t="inlineStr">
        <is>
          <t>Проект</t>
        </is>
      </c>
      <c r="C19" s="4" t="inlineStr">
        <is>
          <t>Ответственный</t>
        </is>
      </c>
      <c r="D19" s="4" t="inlineStr">
        <is>
          <t>Пароль (демо)</t>
        </is>
      </c>
      <c r="E19" s="4" t="inlineStr">
        <is>
          <t>Работ</t>
        </is>
      </c>
      <c r="F19" s="4" t="inlineStr">
        <is>
          <t>Исходный отчёт</t>
        </is>
      </c>
      <c r="G19" s="4" t="inlineStr">
        <is>
          <t>Как построен план</t>
        </is>
      </c>
    </row>
    <row r="22">
      <c r="A22" s="5" t="inlineStr">
        <is>
          <t>Сменные работы</t>
        </is>
      </c>
      <c r="B22" s="5" t="inlineStr">
        <is>
          <t>Сменные работы км 1180–1190 (накопительная сводка)</t>
        </is>
      </c>
      <c r="C22" s="5" t="inlineStr">
        <is>
          <t>Николаев П. С.</t>
        </is>
      </c>
      <c r="D22" s="5" t="inlineStr">
        <is>
          <t>2203</t>
        </is>
      </c>
      <c r="E22" s="5" t="n">
        <v>6</v>
      </c>
      <c r="F22" s="5" t="inlineStr">
        <is>
          <t>Накопительная_сводка_км1180-1190_19.08.2026.xlsx</t>
        </is>
      </c>
      <c r="G22" s="5" t="inlineStr">
        <is>
          <t>Последняя сводка — на 19.08: норма на сентябрь — по выработке августа.</t>
        </is>
      </c>
    </row>
    <row r="24">
      <c r="A24" s="5" t="inlineStr">
        <is>
          <t>Капремонт ГК</t>
        </is>
      </c>
      <c r="B24" s="5" t="inlineStr">
        <is>
          <t>Капремонт км 1180–1190 (ход работ по ГК)</t>
        </is>
      </c>
      <c r="C24" s="5" t="inlineStr">
        <is>
          <t>Попов А. Г.</t>
        </is>
      </c>
      <c r="D24" s="5" t="inlineStr">
        <is>
          <t>2205</t>
        </is>
      </c>
      <c r="E24" s="5" t="n">
        <v>9</v>
      </c>
      <c r="F24" s="5" t="inlineStr">
        <is>
          <t>Исполнительная_схема_км1180-1190_22.09.2026.xlsx</t>
        </is>
      </c>
      <c r="G24" s="5" t="inlineStr">
        <is>
          <t>Норма на день — средний суточный прирост по исполнительной схеме (нарастающий итог и «за сутки»).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6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24" customWidth="1" min="3" max="3"/>
    <col width="8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7.2" customWidth="1" min="35" max="35"/>
    <col width="12" customWidth="1" min="36" max="36"/>
  </cols>
  <sheetData>
    <row r="1">
      <c r="A1" s="6" t="inlineStr">
        <is>
          <t>План работ на август 2026 г.</t>
        </is>
      </c>
    </row>
    <row r="2">
      <c r="A2" s="7" t="inlineStr">
        <is>
          <t>Участок: Вилюй</t>
        </is>
      </c>
    </row>
    <row r="3">
      <c r="A3" s="7" t="inlineStr">
        <is>
          <t>Проект: Сменные работы км 1180–1190 (накопительная сводка)</t>
        </is>
      </c>
    </row>
    <row r="4">
      <c r="A4" s="7" t="inlineStr">
        <is>
          <t>Ответственный: Николаев П. С.</t>
        </is>
      </c>
    </row>
    <row r="6" ht="30" customHeight="1">
      <c r="A6" s="8" t="inlineStr">
        <is>
          <t>№</t>
        </is>
      </c>
      <c r="B6" s="8" t="inlineStr">
        <is>
          <t>Наименование работ</t>
        </is>
      </c>
      <c r="C6" s="8" t="inlineStr">
        <is>
          <t>Классификация</t>
        </is>
      </c>
      <c r="D6" s="8" t="inlineStr">
        <is>
          <t>Ед. изм.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5</v>
      </c>
      <c r="J6" s="8" t="n">
        <v>6</v>
      </c>
      <c r="K6" s="8" t="n">
        <v>7</v>
      </c>
      <c r="L6" s="8" t="n">
        <v>8</v>
      </c>
      <c r="M6" s="8" t="n">
        <v>9</v>
      </c>
      <c r="N6" s="8" t="n">
        <v>10</v>
      </c>
      <c r="O6" s="8" t="n">
        <v>11</v>
      </c>
      <c r="P6" s="8" t="n">
        <v>12</v>
      </c>
      <c r="Q6" s="8" t="n">
        <v>13</v>
      </c>
      <c r="R6" s="8" t="n">
        <v>14</v>
      </c>
      <c r="S6" s="8" t="n">
        <v>15</v>
      </c>
      <c r="T6" s="8" t="n">
        <v>16</v>
      </c>
      <c r="U6" s="8" t="n">
        <v>17</v>
      </c>
      <c r="V6" s="8" t="n">
        <v>18</v>
      </c>
      <c r="W6" s="8" t="n">
        <v>19</v>
      </c>
      <c r="X6" s="8" t="n">
        <v>20</v>
      </c>
      <c r="Y6" s="8" t="n">
        <v>21</v>
      </c>
      <c r="Z6" s="8" t="n">
        <v>22</v>
      </c>
      <c r="AA6" s="8" t="n">
        <v>23</v>
      </c>
      <c r="AB6" s="8" t="n">
        <v>24</v>
      </c>
      <c r="AC6" s="8" t="n">
        <v>25</v>
      </c>
      <c r="AD6" s="8" t="n">
        <v>26</v>
      </c>
      <c r="AE6" s="8" t="n">
        <v>27</v>
      </c>
      <c r="AF6" s="8" t="n">
        <v>28</v>
      </c>
      <c r="AG6" s="8" t="n">
        <v>29</v>
      </c>
      <c r="AH6" s="8" t="n">
        <v>30</v>
      </c>
      <c r="AI6" s="8" t="n">
        <v>31</v>
      </c>
      <c r="AJ6" s="8" t="inlineStr">
        <is>
          <t>Итого за месяц</t>
        </is>
      </c>
    </row>
    <row r="7">
      <c r="A7" s="9" t="n"/>
      <c r="B7" s="9" t="n"/>
      <c r="C7" s="9" t="n"/>
      <c r="D7" s="9" t="n"/>
      <c r="E7" s="10" t="inlineStr">
        <is>
          <t>сб</t>
        </is>
      </c>
      <c r="F7" s="10" t="inlineStr">
        <is>
          <t>вс</t>
        </is>
      </c>
      <c r="G7" s="11" t="inlineStr">
        <is>
          <t>пн</t>
        </is>
      </c>
      <c r="H7" s="11" t="inlineStr">
        <is>
          <t>вт</t>
        </is>
      </c>
      <c r="I7" s="11" t="inlineStr">
        <is>
          <t>ср</t>
        </is>
      </c>
      <c r="J7" s="11" t="inlineStr">
        <is>
          <t>чт</t>
        </is>
      </c>
      <c r="K7" s="11" t="inlineStr">
        <is>
          <t>пт</t>
        </is>
      </c>
      <c r="L7" s="10" t="inlineStr">
        <is>
          <t>сб</t>
        </is>
      </c>
      <c r="M7" s="10" t="inlineStr">
        <is>
          <t>вс</t>
        </is>
      </c>
      <c r="N7" s="11" t="inlineStr">
        <is>
          <t>пн</t>
        </is>
      </c>
      <c r="O7" s="11" t="inlineStr">
        <is>
          <t>вт</t>
        </is>
      </c>
      <c r="P7" s="11" t="inlineStr">
        <is>
          <t>ср</t>
        </is>
      </c>
      <c r="Q7" s="11" t="inlineStr">
        <is>
          <t>чт</t>
        </is>
      </c>
      <c r="R7" s="11" t="inlineStr">
        <is>
          <t>пт</t>
        </is>
      </c>
      <c r="S7" s="10" t="inlineStr">
        <is>
          <t>сб</t>
        </is>
      </c>
      <c r="T7" s="10" t="inlineStr">
        <is>
          <t>вс</t>
        </is>
      </c>
      <c r="U7" s="11" t="inlineStr">
        <is>
          <t>пн</t>
        </is>
      </c>
      <c r="V7" s="11" t="inlineStr">
        <is>
          <t>вт</t>
        </is>
      </c>
      <c r="W7" s="11" t="inlineStr">
        <is>
          <t>ср</t>
        </is>
      </c>
      <c r="X7" s="11" t="inlineStr">
        <is>
          <t>чт</t>
        </is>
      </c>
      <c r="Y7" s="11" t="inlineStr">
        <is>
          <t>пт</t>
        </is>
      </c>
      <c r="Z7" s="10" t="inlineStr">
        <is>
          <t>сб</t>
        </is>
      </c>
      <c r="AA7" s="10" t="inlineStr">
        <is>
          <t>вс</t>
        </is>
      </c>
      <c r="AB7" s="11" t="inlineStr">
        <is>
          <t>пн</t>
        </is>
      </c>
      <c r="AC7" s="11" t="inlineStr">
        <is>
          <t>вт</t>
        </is>
      </c>
      <c r="AD7" s="11" t="inlineStr">
        <is>
          <t>ср</t>
        </is>
      </c>
      <c r="AE7" s="11" t="inlineStr">
        <is>
          <t>чт</t>
        </is>
      </c>
      <c r="AF7" s="11" t="inlineStr">
        <is>
          <t>пт</t>
        </is>
      </c>
      <c r="AG7" s="10" t="inlineStr">
        <is>
          <t>сб</t>
        </is>
      </c>
      <c r="AH7" s="10" t="inlineStr">
        <is>
          <t>вс</t>
        </is>
      </c>
      <c r="AI7" s="11" t="inlineStr">
        <is>
          <t>пн</t>
        </is>
      </c>
      <c r="AJ7" s="9" t="n"/>
    </row>
    <row r="8">
      <c r="A8" s="12" t="n">
        <v>1</v>
      </c>
      <c r="B8" s="13" t="inlineStr">
        <is>
          <t>Вывоз непригодного грунта в отвал</t>
        </is>
      </c>
      <c r="C8" s="14" t="inlineStr">
        <is>
          <t>Перевозка материалов (м³)</t>
        </is>
      </c>
      <c r="D8" s="12" t="inlineStr">
        <is>
          <t>м³</t>
        </is>
      </c>
      <c r="E8" s="15" t="n">
        <v>240</v>
      </c>
      <c r="F8" s="15" t="n">
        <v>240</v>
      </c>
      <c r="G8" s="16" t="n">
        <v>240</v>
      </c>
      <c r="H8" s="16" t="n">
        <v>240</v>
      </c>
      <c r="I8" s="16" t="n">
        <v>240</v>
      </c>
      <c r="J8" s="16" t="n">
        <v>240</v>
      </c>
      <c r="K8" s="16" t="n">
        <v>240</v>
      </c>
      <c r="L8" s="15" t="n">
        <v>240</v>
      </c>
      <c r="M8" s="15" t="n">
        <v>240</v>
      </c>
      <c r="N8" s="16" t="n">
        <v>240</v>
      </c>
      <c r="O8" s="16" t="n">
        <v>240</v>
      </c>
      <c r="P8" s="16" t="n">
        <v>240</v>
      </c>
      <c r="Q8" s="16" t="n">
        <v>240</v>
      </c>
      <c r="R8" s="16" t="n">
        <v>240</v>
      </c>
      <c r="S8" s="15" t="n">
        <v>240</v>
      </c>
      <c r="T8" s="15" t="n">
        <v>240</v>
      </c>
      <c r="U8" s="16" t="n">
        <v>240</v>
      </c>
      <c r="V8" s="16" t="n">
        <v>240</v>
      </c>
      <c r="W8" s="16" t="n">
        <v>240</v>
      </c>
      <c r="X8" s="16" t="n">
        <v>240</v>
      </c>
      <c r="Y8" s="16" t="n">
        <v>240</v>
      </c>
      <c r="Z8" s="15" t="n">
        <v>240</v>
      </c>
      <c r="AA8" s="15" t="n">
        <v>240</v>
      </c>
      <c r="AB8" s="16" t="n">
        <v>240</v>
      </c>
      <c r="AC8" s="16" t="n">
        <v>240</v>
      </c>
      <c r="AD8" s="16" t="n">
        <v>240</v>
      </c>
      <c r="AE8" s="16" t="n">
        <v>240</v>
      </c>
      <c r="AF8" s="16" t="n">
        <v>240</v>
      </c>
      <c r="AG8" s="15" t="n">
        <v>240</v>
      </c>
      <c r="AH8" s="15" t="n">
        <v>240</v>
      </c>
      <c r="AI8" s="16" t="n">
        <v>240</v>
      </c>
      <c r="AJ8" s="17">
        <f>SUM(E8:AI8)</f>
        <v/>
      </c>
    </row>
    <row r="9">
      <c r="A9" s="12" t="n">
        <v>2</v>
      </c>
      <c r="B9" s="13" t="inlineStr">
        <is>
          <t>Устройство слоя основания из ЩПС 0/63</t>
        </is>
      </c>
      <c r="C9" s="14" t="inlineStr">
        <is>
          <t>Строительство</t>
        </is>
      </c>
      <c r="D9" s="12" t="inlineStr">
        <is>
          <t>м³</t>
        </is>
      </c>
      <c r="E9" s="15" t="n">
        <v>140</v>
      </c>
      <c r="F9" s="15" t="n">
        <v>140</v>
      </c>
      <c r="G9" s="16" t="n">
        <v>140</v>
      </c>
      <c r="H9" s="16" t="n">
        <v>140</v>
      </c>
      <c r="I9" s="16" t="n">
        <v>140</v>
      </c>
      <c r="J9" s="16" t="n">
        <v>140</v>
      </c>
      <c r="K9" s="16" t="n">
        <v>140</v>
      </c>
      <c r="L9" s="15" t="n">
        <v>140</v>
      </c>
      <c r="M9" s="15" t="n">
        <v>140</v>
      </c>
      <c r="N9" s="16" t="n">
        <v>140</v>
      </c>
      <c r="O9" s="16" t="n">
        <v>140</v>
      </c>
      <c r="P9" s="16" t="n">
        <v>140</v>
      </c>
      <c r="Q9" s="16" t="n">
        <v>140</v>
      </c>
      <c r="R9" s="16" t="n">
        <v>140</v>
      </c>
      <c r="S9" s="15" t="n">
        <v>140</v>
      </c>
      <c r="T9" s="15" t="n">
        <v>140</v>
      </c>
      <c r="U9" s="16" t="n">
        <v>140</v>
      </c>
      <c r="V9" s="16" t="n">
        <v>140</v>
      </c>
      <c r="W9" s="16" t="n">
        <v>140</v>
      </c>
      <c r="X9" s="16" t="n">
        <v>140</v>
      </c>
      <c r="Y9" s="16" t="n">
        <v>140</v>
      </c>
      <c r="Z9" s="15" t="n">
        <v>140</v>
      </c>
      <c r="AA9" s="15" t="n">
        <v>140</v>
      </c>
      <c r="AB9" s="16" t="n">
        <v>140</v>
      </c>
      <c r="AC9" s="16" t="n">
        <v>140</v>
      </c>
      <c r="AD9" s="16" t="n">
        <v>140</v>
      </c>
      <c r="AE9" s="16" t="n">
        <v>140</v>
      </c>
      <c r="AF9" s="16" t="n">
        <v>140</v>
      </c>
      <c r="AG9" s="15" t="n">
        <v>140</v>
      </c>
      <c r="AH9" s="15" t="n">
        <v>140</v>
      </c>
      <c r="AI9" s="16" t="n">
        <v>140</v>
      </c>
      <c r="AJ9" s="17">
        <f>SUM(E9:AI9)</f>
        <v/>
      </c>
    </row>
    <row r="10">
      <c r="A10" s="12" t="n">
        <v>3</v>
      </c>
      <c r="B10" s="13" t="inlineStr">
        <is>
          <t>Устройство нижнего слоя покрытия А32НН</t>
        </is>
      </c>
      <c r="C10" s="14" t="inlineStr">
        <is>
          <t>Асфальтобетон (т)</t>
        </is>
      </c>
      <c r="D10" s="12" t="inlineStr">
        <is>
          <t>т</t>
        </is>
      </c>
      <c r="E10" s="15" t="n">
        <v>220</v>
      </c>
      <c r="F10" s="15" t="n">
        <v>220</v>
      </c>
      <c r="G10" s="16" t="n">
        <v>220</v>
      </c>
      <c r="H10" s="16" t="n">
        <v>220</v>
      </c>
      <c r="I10" s="16" t="n">
        <v>220</v>
      </c>
      <c r="J10" s="16" t="n">
        <v>220</v>
      </c>
      <c r="K10" s="16" t="n">
        <v>220</v>
      </c>
      <c r="L10" s="15" t="n">
        <v>220</v>
      </c>
      <c r="M10" s="15" t="n">
        <v>220</v>
      </c>
      <c r="N10" s="16" t="n">
        <v>220</v>
      </c>
      <c r="O10" s="16" t="n">
        <v>220</v>
      </c>
      <c r="P10" s="16" t="n">
        <v>220</v>
      </c>
      <c r="Q10" s="16" t="n">
        <v>220</v>
      </c>
      <c r="R10" s="16" t="n">
        <v>220</v>
      </c>
      <c r="S10" s="15" t="n"/>
      <c r="T10" s="15" t="n"/>
      <c r="U10" s="16" t="n"/>
      <c r="V10" s="16" t="n"/>
      <c r="W10" s="16" t="n"/>
      <c r="X10" s="16" t="n"/>
      <c r="Y10" s="16" t="n"/>
      <c r="Z10" s="15" t="n"/>
      <c r="AA10" s="15" t="n"/>
      <c r="AB10" s="16" t="n"/>
      <c r="AC10" s="16" t="n"/>
      <c r="AD10" s="16" t="n"/>
      <c r="AE10" s="16" t="n"/>
      <c r="AF10" s="16" t="n"/>
      <c r="AG10" s="15" t="n"/>
      <c r="AH10" s="15" t="n"/>
      <c r="AI10" s="16" t="n"/>
      <c r="AJ10" s="17">
        <f>SUM(E10:AI10)</f>
        <v/>
      </c>
    </row>
    <row r="11">
      <c r="A11" s="12" t="n">
        <v>4</v>
      </c>
      <c r="B11" s="13" t="inlineStr">
        <is>
          <t>Устройство нижнего слоя покрытия А16ВН</t>
        </is>
      </c>
      <c r="C11" s="14" t="inlineStr">
        <is>
          <t>Асфальтобетон (т)</t>
        </is>
      </c>
      <c r="D11" s="12" t="inlineStr">
        <is>
          <t>т</t>
        </is>
      </c>
      <c r="E11" s="15" t="n"/>
      <c r="F11" s="15" t="n"/>
      <c r="G11" s="16" t="n"/>
      <c r="H11" s="16" t="n"/>
      <c r="I11" s="16" t="n"/>
      <c r="J11" s="16" t="n"/>
      <c r="K11" s="16" t="n"/>
      <c r="L11" s="15" t="n"/>
      <c r="M11" s="15" t="n"/>
      <c r="N11" s="16" t="n"/>
      <c r="O11" s="16" t="n"/>
      <c r="P11" s="16" t="n"/>
      <c r="Q11" s="16" t="n"/>
      <c r="R11" s="16" t="n"/>
      <c r="S11" s="15" t="n">
        <v>390</v>
      </c>
      <c r="T11" s="15" t="n">
        <v>390</v>
      </c>
      <c r="U11" s="16" t="n">
        <v>390</v>
      </c>
      <c r="V11" s="16" t="n">
        <v>390</v>
      </c>
      <c r="W11" s="16" t="n">
        <v>390</v>
      </c>
      <c r="X11" s="16" t="n">
        <v>390</v>
      </c>
      <c r="Y11" s="16" t="n">
        <v>390</v>
      </c>
      <c r="Z11" s="15" t="n">
        <v>390</v>
      </c>
      <c r="AA11" s="15" t="n">
        <v>390</v>
      </c>
      <c r="AB11" s="16" t="n">
        <v>390</v>
      </c>
      <c r="AC11" s="16" t="n">
        <v>390</v>
      </c>
      <c r="AD11" s="16" t="n">
        <v>390</v>
      </c>
      <c r="AE11" s="16" t="n">
        <v>390</v>
      </c>
      <c r="AF11" s="16" t="n">
        <v>390</v>
      </c>
      <c r="AG11" s="15" t="n">
        <v>390</v>
      </c>
      <c r="AH11" s="15" t="n">
        <v>390</v>
      </c>
      <c r="AI11" s="16" t="n">
        <v>390</v>
      </c>
      <c r="AJ11" s="17">
        <f>SUM(E11:AI11)</f>
        <v/>
      </c>
    </row>
    <row r="12">
      <c r="A12" s="12" t="n">
        <v>5</v>
      </c>
      <c r="B12" s="13" t="inlineStr">
        <is>
          <t>Вывоз ЩПС 0/63 с к. Лапчан на накопитель км 1182</t>
        </is>
      </c>
      <c r="C12" s="14" t="inlineStr">
        <is>
          <t>Перевозка материалов (м³)</t>
        </is>
      </c>
      <c r="D12" s="12" t="inlineStr">
        <is>
          <t>м³</t>
        </is>
      </c>
      <c r="E12" s="15" t="n">
        <v>12</v>
      </c>
      <c r="F12" s="15" t="n">
        <v>12</v>
      </c>
      <c r="G12" s="16" t="n">
        <v>12</v>
      </c>
      <c r="H12" s="16" t="n">
        <v>12</v>
      </c>
      <c r="I12" s="16" t="n">
        <v>12</v>
      </c>
      <c r="J12" s="16" t="n">
        <v>12</v>
      </c>
      <c r="K12" s="16" t="n">
        <v>12</v>
      </c>
      <c r="L12" s="15" t="n">
        <v>12</v>
      </c>
      <c r="M12" s="15" t="n">
        <v>12</v>
      </c>
      <c r="N12" s="16" t="n">
        <v>12</v>
      </c>
      <c r="O12" s="16" t="n">
        <v>12</v>
      </c>
      <c r="P12" s="16" t="n">
        <v>12</v>
      </c>
      <c r="Q12" s="16" t="n">
        <v>12</v>
      </c>
      <c r="R12" s="16" t="n">
        <v>12</v>
      </c>
      <c r="S12" s="15" t="n">
        <v>12</v>
      </c>
      <c r="T12" s="15" t="n">
        <v>12</v>
      </c>
      <c r="U12" s="16" t="n">
        <v>12</v>
      </c>
      <c r="V12" s="16" t="n">
        <v>12</v>
      </c>
      <c r="W12" s="16" t="n">
        <v>12</v>
      </c>
      <c r="X12" s="16" t="n">
        <v>12</v>
      </c>
      <c r="Y12" s="16" t="n">
        <v>12</v>
      </c>
      <c r="Z12" s="15" t="n">
        <v>12</v>
      </c>
      <c r="AA12" s="15" t="n">
        <v>12</v>
      </c>
      <c r="AB12" s="16" t="n">
        <v>12</v>
      </c>
      <c r="AC12" s="16" t="n">
        <v>12</v>
      </c>
      <c r="AD12" s="16" t="n">
        <v>12</v>
      </c>
      <c r="AE12" s="16" t="n">
        <v>12</v>
      </c>
      <c r="AF12" s="16" t="n">
        <v>12</v>
      </c>
      <c r="AG12" s="15" t="n">
        <v>12</v>
      </c>
      <c r="AH12" s="15" t="n">
        <v>12</v>
      </c>
      <c r="AI12" s="16" t="n">
        <v>12</v>
      </c>
      <c r="AJ12" s="17">
        <f>SUM(E12:AI12)</f>
        <v/>
      </c>
    </row>
    <row r="13">
      <c r="A13" s="12" t="n">
        <v>6</v>
      </c>
      <c r="B13" s="13" t="inlineStr">
        <is>
          <t>Вывоз с карьера «км 179» на дорогу ООО «Айхал-Центр»</t>
        </is>
      </c>
      <c r="C13" s="14" t="inlineStr">
        <is>
          <t>Перевозка материалов (м³)</t>
        </is>
      </c>
      <c r="D13" s="12" t="inlineStr">
        <is>
          <t>м³</t>
        </is>
      </c>
      <c r="E13" s="15" t="n">
        <v>125</v>
      </c>
      <c r="F13" s="15" t="n">
        <v>125</v>
      </c>
      <c r="G13" s="16" t="n">
        <v>125</v>
      </c>
      <c r="H13" s="16" t="n">
        <v>125</v>
      </c>
      <c r="I13" s="16" t="n">
        <v>125</v>
      </c>
      <c r="J13" s="16" t="n">
        <v>125</v>
      </c>
      <c r="K13" s="16" t="n">
        <v>125</v>
      </c>
      <c r="L13" s="15" t="n">
        <v>125</v>
      </c>
      <c r="M13" s="15" t="n">
        <v>125</v>
      </c>
      <c r="N13" s="16" t="n">
        <v>125</v>
      </c>
      <c r="O13" s="16" t="n">
        <v>125</v>
      </c>
      <c r="P13" s="16" t="n">
        <v>125</v>
      </c>
      <c r="Q13" s="16" t="n">
        <v>125</v>
      </c>
      <c r="R13" s="16" t="n">
        <v>125</v>
      </c>
      <c r="S13" s="15" t="n">
        <v>125</v>
      </c>
      <c r="T13" s="15" t="n">
        <v>125</v>
      </c>
      <c r="U13" s="16" t="n">
        <v>125</v>
      </c>
      <c r="V13" s="16" t="n">
        <v>125</v>
      </c>
      <c r="W13" s="16" t="n">
        <v>125</v>
      </c>
      <c r="X13" s="16" t="n">
        <v>125</v>
      </c>
      <c r="Y13" s="16" t="n">
        <v>125</v>
      </c>
      <c r="Z13" s="15" t="n">
        <v>125</v>
      </c>
      <c r="AA13" s="15" t="n">
        <v>125</v>
      </c>
      <c r="AB13" s="16" t="n">
        <v>125</v>
      </c>
      <c r="AC13" s="16" t="n">
        <v>125</v>
      </c>
      <c r="AD13" s="16" t="n">
        <v>125</v>
      </c>
      <c r="AE13" s="16" t="n">
        <v>125</v>
      </c>
      <c r="AF13" s="16" t="n">
        <v>125</v>
      </c>
      <c r="AG13" s="15" t="n">
        <v>125</v>
      </c>
      <c r="AH13" s="15" t="n">
        <v>125</v>
      </c>
      <c r="AI13" s="16" t="n">
        <v>125</v>
      </c>
      <c r="AJ13" s="17">
        <f>SUM(E13:AI13)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18">
        <f>SUM(E14:AI14)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18">
        <f>SUM(E15:AI15)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18">
        <f>SUM(E16:AI16)</f>
        <v/>
      </c>
    </row>
  </sheetData>
  <dataValidations count="1">
    <dataValidation sqref="C8 C9 C10 C11 C12 C13 C14 C15 C16" showDropDown="0" showInputMessage="0" showErrorMessage="0" allowBlank="1" type="list">
      <formula1>Справочник!$A$2:$A$11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24" customWidth="1" min="3" max="3"/>
    <col width="8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  <col width="7.2" customWidth="1" min="31" max="31"/>
    <col width="7.2" customWidth="1" min="32" max="32"/>
    <col width="7.2" customWidth="1" min="33" max="33"/>
    <col width="7.2" customWidth="1" min="34" max="34"/>
    <col width="7.2" customWidth="1" min="35" max="35"/>
    <col width="12" customWidth="1" min="36" max="36"/>
  </cols>
  <sheetData>
    <row r="1">
      <c r="A1" s="6" t="inlineStr">
        <is>
          <t>План работ на август 2026 г.</t>
        </is>
      </c>
    </row>
    <row r="2">
      <c r="A2" s="7" t="inlineStr">
        <is>
          <t>Участок: Вилюй</t>
        </is>
      </c>
    </row>
    <row r="3">
      <c r="A3" s="7" t="inlineStr">
        <is>
          <t>Проект: Капремонт км 1180–1190 (ход работ по ГК)</t>
        </is>
      </c>
    </row>
    <row r="4">
      <c r="A4" s="7" t="inlineStr">
        <is>
          <t>Ответственный: Попов А. Г.</t>
        </is>
      </c>
    </row>
    <row r="6" ht="30" customHeight="1">
      <c r="A6" s="8" t="inlineStr">
        <is>
          <t>№</t>
        </is>
      </c>
      <c r="B6" s="8" t="inlineStr">
        <is>
          <t>Наименование работ</t>
        </is>
      </c>
      <c r="C6" s="8" t="inlineStr">
        <is>
          <t>Классификация</t>
        </is>
      </c>
      <c r="D6" s="8" t="inlineStr">
        <is>
          <t>Ед. изм.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5</v>
      </c>
      <c r="J6" s="8" t="n">
        <v>6</v>
      </c>
      <c r="K6" s="8" t="n">
        <v>7</v>
      </c>
      <c r="L6" s="8" t="n">
        <v>8</v>
      </c>
      <c r="M6" s="8" t="n">
        <v>9</v>
      </c>
      <c r="N6" s="8" t="n">
        <v>10</v>
      </c>
      <c r="O6" s="8" t="n">
        <v>11</v>
      </c>
      <c r="P6" s="8" t="n">
        <v>12</v>
      </c>
      <c r="Q6" s="8" t="n">
        <v>13</v>
      </c>
      <c r="R6" s="8" t="n">
        <v>14</v>
      </c>
      <c r="S6" s="8" t="n">
        <v>15</v>
      </c>
      <c r="T6" s="8" t="n">
        <v>16</v>
      </c>
      <c r="U6" s="8" t="n">
        <v>17</v>
      </c>
      <c r="V6" s="8" t="n">
        <v>18</v>
      </c>
      <c r="W6" s="8" t="n">
        <v>19</v>
      </c>
      <c r="X6" s="8" t="n">
        <v>20</v>
      </c>
      <c r="Y6" s="8" t="n">
        <v>21</v>
      </c>
      <c r="Z6" s="8" t="n">
        <v>22</v>
      </c>
      <c r="AA6" s="8" t="n">
        <v>23</v>
      </c>
      <c r="AB6" s="8" t="n">
        <v>24</v>
      </c>
      <c r="AC6" s="8" t="n">
        <v>25</v>
      </c>
      <c r="AD6" s="8" t="n">
        <v>26</v>
      </c>
      <c r="AE6" s="8" t="n">
        <v>27</v>
      </c>
      <c r="AF6" s="8" t="n">
        <v>28</v>
      </c>
      <c r="AG6" s="8" t="n">
        <v>29</v>
      </c>
      <c r="AH6" s="8" t="n">
        <v>30</v>
      </c>
      <c r="AI6" s="8" t="n">
        <v>31</v>
      </c>
      <c r="AJ6" s="8" t="inlineStr">
        <is>
          <t>Итого за месяц</t>
        </is>
      </c>
    </row>
    <row r="7">
      <c r="A7" s="9" t="n"/>
      <c r="B7" s="9" t="n"/>
      <c r="C7" s="9" t="n"/>
      <c r="D7" s="9" t="n"/>
      <c r="E7" s="10" t="inlineStr">
        <is>
          <t>сб</t>
        </is>
      </c>
      <c r="F7" s="10" t="inlineStr">
        <is>
          <t>вс</t>
        </is>
      </c>
      <c r="G7" s="11" t="inlineStr">
        <is>
          <t>пн</t>
        </is>
      </c>
      <c r="H7" s="11" t="inlineStr">
        <is>
          <t>вт</t>
        </is>
      </c>
      <c r="I7" s="11" t="inlineStr">
        <is>
          <t>ср</t>
        </is>
      </c>
      <c r="J7" s="11" t="inlineStr">
        <is>
          <t>чт</t>
        </is>
      </c>
      <c r="K7" s="11" t="inlineStr">
        <is>
          <t>пт</t>
        </is>
      </c>
      <c r="L7" s="10" t="inlineStr">
        <is>
          <t>сб</t>
        </is>
      </c>
      <c r="M7" s="10" t="inlineStr">
        <is>
          <t>вс</t>
        </is>
      </c>
      <c r="N7" s="11" t="inlineStr">
        <is>
          <t>пн</t>
        </is>
      </c>
      <c r="O7" s="11" t="inlineStr">
        <is>
          <t>вт</t>
        </is>
      </c>
      <c r="P7" s="11" t="inlineStr">
        <is>
          <t>ср</t>
        </is>
      </c>
      <c r="Q7" s="11" t="inlineStr">
        <is>
          <t>чт</t>
        </is>
      </c>
      <c r="R7" s="11" t="inlineStr">
        <is>
          <t>пт</t>
        </is>
      </c>
      <c r="S7" s="10" t="inlineStr">
        <is>
          <t>сб</t>
        </is>
      </c>
      <c r="T7" s="10" t="inlineStr">
        <is>
          <t>вс</t>
        </is>
      </c>
      <c r="U7" s="11" t="inlineStr">
        <is>
          <t>пн</t>
        </is>
      </c>
      <c r="V7" s="11" t="inlineStr">
        <is>
          <t>вт</t>
        </is>
      </c>
      <c r="W7" s="11" t="inlineStr">
        <is>
          <t>ср</t>
        </is>
      </c>
      <c r="X7" s="11" t="inlineStr">
        <is>
          <t>чт</t>
        </is>
      </c>
      <c r="Y7" s="11" t="inlineStr">
        <is>
          <t>пт</t>
        </is>
      </c>
      <c r="Z7" s="10" t="inlineStr">
        <is>
          <t>сб</t>
        </is>
      </c>
      <c r="AA7" s="10" t="inlineStr">
        <is>
          <t>вс</t>
        </is>
      </c>
      <c r="AB7" s="11" t="inlineStr">
        <is>
          <t>пн</t>
        </is>
      </c>
      <c r="AC7" s="11" t="inlineStr">
        <is>
          <t>вт</t>
        </is>
      </c>
      <c r="AD7" s="11" t="inlineStr">
        <is>
          <t>ср</t>
        </is>
      </c>
      <c r="AE7" s="11" t="inlineStr">
        <is>
          <t>чт</t>
        </is>
      </c>
      <c r="AF7" s="11" t="inlineStr">
        <is>
          <t>пт</t>
        </is>
      </c>
      <c r="AG7" s="10" t="inlineStr">
        <is>
          <t>сб</t>
        </is>
      </c>
      <c r="AH7" s="10" t="inlineStr">
        <is>
          <t>вс</t>
        </is>
      </c>
      <c r="AI7" s="11" t="inlineStr">
        <is>
          <t>пн</t>
        </is>
      </c>
      <c r="AJ7" s="9" t="n"/>
    </row>
    <row r="8">
      <c r="A8" s="12" t="n">
        <v>1</v>
      </c>
      <c r="B8" s="13" t="inlineStr">
        <is>
          <t>Устройство земляного полотна</t>
        </is>
      </c>
      <c r="C8" s="14" t="inlineStr">
        <is>
          <t>Строительство</t>
        </is>
      </c>
      <c r="D8" s="12" t="inlineStr">
        <is>
          <t>м³</t>
        </is>
      </c>
      <c r="E8" s="15" t="n">
        <v>260</v>
      </c>
      <c r="F8" s="15" t="n">
        <v>260</v>
      </c>
      <c r="G8" s="16" t="n">
        <v>260</v>
      </c>
      <c r="H8" s="16" t="n">
        <v>260</v>
      </c>
      <c r="I8" s="16" t="n">
        <v>260</v>
      </c>
      <c r="J8" s="16" t="n">
        <v>260</v>
      </c>
      <c r="K8" s="16" t="n">
        <v>260</v>
      </c>
      <c r="L8" s="15" t="n">
        <v>260</v>
      </c>
      <c r="M8" s="15" t="n">
        <v>260</v>
      </c>
      <c r="N8" s="16" t="n">
        <v>260</v>
      </c>
      <c r="O8" s="16" t="n">
        <v>260</v>
      </c>
      <c r="P8" s="16" t="n">
        <v>260</v>
      </c>
      <c r="Q8" s="16" t="n">
        <v>260</v>
      </c>
      <c r="R8" s="16" t="n">
        <v>260</v>
      </c>
      <c r="S8" s="15" t="n">
        <v>260</v>
      </c>
      <c r="T8" s="15" t="n">
        <v>260</v>
      </c>
      <c r="U8" s="16" t="n">
        <v>260</v>
      </c>
      <c r="V8" s="16" t="n">
        <v>260</v>
      </c>
      <c r="W8" s="16" t="n">
        <v>260</v>
      </c>
      <c r="X8" s="16" t="n">
        <v>260</v>
      </c>
      <c r="Y8" s="16" t="n">
        <v>260</v>
      </c>
      <c r="Z8" s="15" t="n">
        <v>260</v>
      </c>
      <c r="AA8" s="15" t="n">
        <v>260</v>
      </c>
      <c r="AB8" s="16" t="n">
        <v>260</v>
      </c>
      <c r="AC8" s="16" t="n">
        <v>260</v>
      </c>
      <c r="AD8" s="16" t="n">
        <v>260</v>
      </c>
      <c r="AE8" s="16" t="n">
        <v>260</v>
      </c>
      <c r="AF8" s="16" t="n">
        <v>260</v>
      </c>
      <c r="AG8" s="15" t="n">
        <v>260</v>
      </c>
      <c r="AH8" s="15" t="n">
        <v>260</v>
      </c>
      <c r="AI8" s="16" t="n">
        <v>260</v>
      </c>
      <c r="AJ8" s="17">
        <f>SUM(E8:AI8)</f>
        <v/>
      </c>
    </row>
    <row r="9">
      <c r="A9" s="12" t="n">
        <v>2</v>
      </c>
      <c r="B9" s="13" t="inlineStr">
        <is>
          <t>Устройство основания из ЩПС 0/63, слой 1 (20 см)</t>
        </is>
      </c>
      <c r="C9" s="14" t="inlineStr">
        <is>
          <t>Строительство</t>
        </is>
      </c>
      <c r="D9" s="12" t="inlineStr">
        <is>
          <t>м³</t>
        </is>
      </c>
      <c r="E9" s="15" t="n">
        <v>200</v>
      </c>
      <c r="F9" s="15" t="n">
        <v>200</v>
      </c>
      <c r="G9" s="16" t="n">
        <v>200</v>
      </c>
      <c r="H9" s="16" t="n">
        <v>200</v>
      </c>
      <c r="I9" s="16" t="n">
        <v>200</v>
      </c>
      <c r="J9" s="16" t="n">
        <v>200</v>
      </c>
      <c r="K9" s="16" t="n">
        <v>200</v>
      </c>
      <c r="L9" s="15" t="n">
        <v>200</v>
      </c>
      <c r="M9" s="15" t="n">
        <v>200</v>
      </c>
      <c r="N9" s="16" t="n">
        <v>200</v>
      </c>
      <c r="O9" s="16" t="n">
        <v>200</v>
      </c>
      <c r="P9" s="16" t="n">
        <v>200</v>
      </c>
      <c r="Q9" s="16" t="n">
        <v>200</v>
      </c>
      <c r="R9" s="16" t="n">
        <v>200</v>
      </c>
      <c r="S9" s="15" t="n">
        <v>200</v>
      </c>
      <c r="T9" s="15" t="n">
        <v>200</v>
      </c>
      <c r="U9" s="16" t="n">
        <v>200</v>
      </c>
      <c r="V9" s="16" t="n">
        <v>200</v>
      </c>
      <c r="W9" s="16" t="n">
        <v>200</v>
      </c>
      <c r="X9" s="16" t="n">
        <v>200</v>
      </c>
      <c r="Y9" s="16" t="n">
        <v>200</v>
      </c>
      <c r="Z9" s="15" t="n">
        <v>200</v>
      </c>
      <c r="AA9" s="15" t="n">
        <v>200</v>
      </c>
      <c r="AB9" s="16" t="n">
        <v>200</v>
      </c>
      <c r="AC9" s="16" t="n">
        <v>200</v>
      </c>
      <c r="AD9" s="16" t="n">
        <v>200</v>
      </c>
      <c r="AE9" s="16" t="n">
        <v>200</v>
      </c>
      <c r="AF9" s="16" t="n">
        <v>200</v>
      </c>
      <c r="AG9" s="15" t="n">
        <v>200</v>
      </c>
      <c r="AH9" s="15" t="n">
        <v>200</v>
      </c>
      <c r="AI9" s="16" t="n">
        <v>200</v>
      </c>
      <c r="AJ9" s="17">
        <f>SUM(E9:AI9)</f>
        <v/>
      </c>
    </row>
    <row r="10">
      <c r="A10" s="12" t="n">
        <v>3</v>
      </c>
      <c r="B10" s="13" t="inlineStr">
        <is>
          <t>Устройство нижнего слоя покрытия</t>
        </is>
      </c>
      <c r="C10" s="14" t="inlineStr">
        <is>
          <t>Асфальтирование</t>
        </is>
      </c>
      <c r="D10" s="12" t="inlineStr">
        <is>
          <t>м²</t>
        </is>
      </c>
      <c r="E10" s="15" t="n">
        <v>740</v>
      </c>
      <c r="F10" s="15" t="n">
        <v>740</v>
      </c>
      <c r="G10" s="16" t="n">
        <v>740</v>
      </c>
      <c r="H10" s="16" t="n">
        <v>740</v>
      </c>
      <c r="I10" s="16" t="n">
        <v>740</v>
      </c>
      <c r="J10" s="16" t="n">
        <v>740</v>
      </c>
      <c r="K10" s="16" t="n">
        <v>740</v>
      </c>
      <c r="L10" s="15" t="n">
        <v>740</v>
      </c>
      <c r="M10" s="15" t="n">
        <v>740</v>
      </c>
      <c r="N10" s="16" t="n">
        <v>740</v>
      </c>
      <c r="O10" s="16" t="n">
        <v>740</v>
      </c>
      <c r="P10" s="16" t="n">
        <v>740</v>
      </c>
      <c r="Q10" s="16" t="n">
        <v>740</v>
      </c>
      <c r="R10" s="16" t="n">
        <v>740</v>
      </c>
      <c r="S10" s="15" t="n">
        <v>740</v>
      </c>
      <c r="T10" s="15" t="n">
        <v>740</v>
      </c>
      <c r="U10" s="16" t="n">
        <v>740</v>
      </c>
      <c r="V10" s="16" t="n">
        <v>740</v>
      </c>
      <c r="W10" s="16" t="n">
        <v>740</v>
      </c>
      <c r="X10" s="16" t="n">
        <v>740</v>
      </c>
      <c r="Y10" s="16" t="n">
        <v>740</v>
      </c>
      <c r="Z10" s="15" t="n">
        <v>740</v>
      </c>
      <c r="AA10" s="15" t="n">
        <v>740</v>
      </c>
      <c r="AB10" s="16" t="n">
        <v>740</v>
      </c>
      <c r="AC10" s="16" t="n">
        <v>740</v>
      </c>
      <c r="AD10" s="16" t="n">
        <v>740</v>
      </c>
      <c r="AE10" s="16" t="n">
        <v>740</v>
      </c>
      <c r="AF10" s="16" t="n">
        <v>740</v>
      </c>
      <c r="AG10" s="15" t="n">
        <v>740</v>
      </c>
      <c r="AH10" s="15" t="n">
        <v>740</v>
      </c>
      <c r="AI10" s="16" t="n">
        <v>740</v>
      </c>
      <c r="AJ10" s="17">
        <f>SUM(E10:AI10)</f>
        <v/>
      </c>
    </row>
    <row r="11">
      <c r="A11" s="12" t="n">
        <v>4</v>
      </c>
      <c r="B11" s="13" t="inlineStr">
        <is>
          <t>Устройство верхнего слоя покрытия</t>
        </is>
      </c>
      <c r="C11" s="14" t="inlineStr">
        <is>
          <t>Асфальтирование</t>
        </is>
      </c>
      <c r="D11" s="12" t="inlineStr">
        <is>
          <t>м²</t>
        </is>
      </c>
      <c r="E11" s="15" t="n"/>
      <c r="F11" s="15" t="n"/>
      <c r="G11" s="16" t="n"/>
      <c r="H11" s="16" t="n"/>
      <c r="I11" s="16" t="n"/>
      <c r="J11" s="16" t="n"/>
      <c r="K11" s="16" t="n"/>
      <c r="L11" s="15" t="n"/>
      <c r="M11" s="15" t="n"/>
      <c r="N11" s="16" t="n"/>
      <c r="O11" s="16" t="n"/>
      <c r="P11" s="16" t="n"/>
      <c r="Q11" s="16" t="n"/>
      <c r="R11" s="16" t="n"/>
      <c r="S11" s="15" t="n">
        <v>1350</v>
      </c>
      <c r="T11" s="15" t="n">
        <v>1350</v>
      </c>
      <c r="U11" s="16" t="n">
        <v>1350</v>
      </c>
      <c r="V11" s="16" t="n">
        <v>1350</v>
      </c>
      <c r="W11" s="16" t="n">
        <v>1350</v>
      </c>
      <c r="X11" s="16" t="n">
        <v>1350</v>
      </c>
      <c r="Y11" s="16" t="n">
        <v>1350</v>
      </c>
      <c r="Z11" s="15" t="n">
        <v>1350</v>
      </c>
      <c r="AA11" s="15" t="n">
        <v>1350</v>
      </c>
      <c r="AB11" s="16" t="n">
        <v>1350</v>
      </c>
      <c r="AC11" s="16" t="n">
        <v>1350</v>
      </c>
      <c r="AD11" s="16" t="n">
        <v>1350</v>
      </c>
      <c r="AE11" s="16" t="n">
        <v>1350</v>
      </c>
      <c r="AF11" s="16" t="n">
        <v>1350</v>
      </c>
      <c r="AG11" s="15" t="n">
        <v>1350</v>
      </c>
      <c r="AH11" s="15" t="n">
        <v>1350</v>
      </c>
      <c r="AI11" s="16" t="n">
        <v>1350</v>
      </c>
      <c r="AJ11" s="17">
        <f>SUM(E11:AI11)</f>
        <v/>
      </c>
    </row>
    <row r="12">
      <c r="A12" s="12" t="n">
        <v>5</v>
      </c>
      <c r="B12" s="13" t="inlineStr">
        <is>
          <t>Устройство присыпных обочин (20 см)</t>
        </is>
      </c>
      <c r="C12" s="14" t="inlineStr">
        <is>
          <t>Строительство</t>
        </is>
      </c>
      <c r="D12" s="12" t="inlineStr">
        <is>
          <t>м³</t>
        </is>
      </c>
      <c r="E12" s="15" t="n">
        <v>115</v>
      </c>
      <c r="F12" s="15" t="n">
        <v>115</v>
      </c>
      <c r="G12" s="16" t="n">
        <v>115</v>
      </c>
      <c r="H12" s="16" t="n">
        <v>115</v>
      </c>
      <c r="I12" s="16" t="n">
        <v>115</v>
      </c>
      <c r="J12" s="16" t="n">
        <v>115</v>
      </c>
      <c r="K12" s="16" t="n">
        <v>115</v>
      </c>
      <c r="L12" s="15" t="n">
        <v>115</v>
      </c>
      <c r="M12" s="15" t="n">
        <v>115</v>
      </c>
      <c r="N12" s="16" t="n">
        <v>115</v>
      </c>
      <c r="O12" s="16" t="n">
        <v>115</v>
      </c>
      <c r="P12" s="16" t="n">
        <v>115</v>
      </c>
      <c r="Q12" s="16" t="n">
        <v>115</v>
      </c>
      <c r="R12" s="16" t="n">
        <v>115</v>
      </c>
      <c r="S12" s="15" t="n">
        <v>115</v>
      </c>
      <c r="T12" s="15" t="n">
        <v>115</v>
      </c>
      <c r="U12" s="16" t="n">
        <v>115</v>
      </c>
      <c r="V12" s="16" t="n">
        <v>115</v>
      </c>
      <c r="W12" s="16" t="n">
        <v>115</v>
      </c>
      <c r="X12" s="16" t="n">
        <v>115</v>
      </c>
      <c r="Y12" s="16" t="n">
        <v>115</v>
      </c>
      <c r="Z12" s="15" t="n">
        <v>115</v>
      </c>
      <c r="AA12" s="15" t="n">
        <v>115</v>
      </c>
      <c r="AB12" s="16" t="n"/>
      <c r="AC12" s="16" t="n"/>
      <c r="AD12" s="16" t="n"/>
      <c r="AE12" s="16" t="n"/>
      <c r="AF12" s="16" t="n"/>
      <c r="AG12" s="15" t="n"/>
      <c r="AH12" s="15" t="n"/>
      <c r="AI12" s="16" t="n"/>
      <c r="AJ12" s="17">
        <f>SUM(E12:AI12)</f>
        <v/>
      </c>
    </row>
    <row r="13">
      <c r="A13" s="12" t="n">
        <v>6</v>
      </c>
      <c r="B13" s="13" t="inlineStr">
        <is>
          <t>Устройство присыпных обочин (13 см), позиция 1</t>
        </is>
      </c>
      <c r="C13" s="14" t="inlineStr">
        <is>
          <t>Строительство</t>
        </is>
      </c>
      <c r="D13" s="12" t="inlineStr">
        <is>
          <t>м³</t>
        </is>
      </c>
      <c r="E13" s="15" t="n"/>
      <c r="F13" s="15" t="n"/>
      <c r="G13" s="16" t="n"/>
      <c r="H13" s="16" t="n"/>
      <c r="I13" s="16" t="n"/>
      <c r="J13" s="16" t="n"/>
      <c r="K13" s="16" t="n"/>
      <c r="L13" s="15" t="n"/>
      <c r="M13" s="15" t="n"/>
      <c r="N13" s="16" t="n"/>
      <c r="O13" s="16" t="n"/>
      <c r="P13" s="16" t="n"/>
      <c r="Q13" s="16" t="n"/>
      <c r="R13" s="16" t="n"/>
      <c r="S13" s="15" t="n">
        <v>800</v>
      </c>
      <c r="T13" s="15" t="n">
        <v>800</v>
      </c>
      <c r="U13" s="16" t="n">
        <v>800</v>
      </c>
      <c r="V13" s="16" t="n">
        <v>800</v>
      </c>
      <c r="W13" s="16" t="n">
        <v>800</v>
      </c>
      <c r="X13" s="16" t="n">
        <v>800</v>
      </c>
      <c r="Y13" s="16" t="n">
        <v>800</v>
      </c>
      <c r="Z13" s="15" t="n">
        <v>800</v>
      </c>
      <c r="AA13" s="15" t="n">
        <v>800</v>
      </c>
      <c r="AB13" s="16" t="n">
        <v>800</v>
      </c>
      <c r="AC13" s="16" t="n">
        <v>800</v>
      </c>
      <c r="AD13" s="16" t="n">
        <v>800</v>
      </c>
      <c r="AE13" s="16" t="n">
        <v>800</v>
      </c>
      <c r="AF13" s="16" t="n">
        <v>800</v>
      </c>
      <c r="AG13" s="15" t="n">
        <v>800</v>
      </c>
      <c r="AH13" s="15" t="n">
        <v>800</v>
      </c>
      <c r="AI13" s="16" t="n">
        <v>800</v>
      </c>
      <c r="AJ13" s="17">
        <f>SUM(E13:AI13)</f>
        <v/>
      </c>
    </row>
    <row r="14">
      <c r="A14" s="12" t="n">
        <v>7</v>
      </c>
      <c r="B14" s="13" t="inlineStr">
        <is>
          <t>Устройство присыпных обочин (13 см), позиция 2</t>
        </is>
      </c>
      <c r="C14" s="14" t="inlineStr">
        <is>
          <t>Строительство</t>
        </is>
      </c>
      <c r="D14" s="12" t="inlineStr">
        <is>
          <t>м³</t>
        </is>
      </c>
      <c r="E14" s="15" t="n"/>
      <c r="F14" s="15" t="n"/>
      <c r="G14" s="16" t="n"/>
      <c r="H14" s="16" t="n"/>
      <c r="I14" s="16" t="n"/>
      <c r="J14" s="16" t="n"/>
      <c r="K14" s="16" t="n"/>
      <c r="L14" s="15" t="n"/>
      <c r="M14" s="15" t="n"/>
      <c r="N14" s="16" t="n"/>
      <c r="O14" s="16" t="n"/>
      <c r="P14" s="16" t="n"/>
      <c r="Q14" s="16" t="n"/>
      <c r="R14" s="16" t="n"/>
      <c r="S14" s="15" t="n"/>
      <c r="T14" s="15" t="n"/>
      <c r="U14" s="16" t="n"/>
      <c r="V14" s="16" t="n"/>
      <c r="W14" s="16" t="n"/>
      <c r="X14" s="16" t="n"/>
      <c r="Y14" s="16" t="n"/>
      <c r="Z14" s="15" t="n"/>
      <c r="AA14" s="15" t="n"/>
      <c r="AB14" s="16" t="n"/>
      <c r="AC14" s="16" t="n"/>
      <c r="AD14" s="16" t="n"/>
      <c r="AE14" s="16" t="n">
        <v>2200</v>
      </c>
      <c r="AF14" s="16" t="n">
        <v>2200</v>
      </c>
      <c r="AG14" s="15" t="n">
        <v>2200</v>
      </c>
      <c r="AH14" s="15" t="n">
        <v>2200</v>
      </c>
      <c r="AI14" s="16" t="n">
        <v>2200</v>
      </c>
      <c r="AJ14" s="17">
        <f>SUM(E14:AI14)</f>
        <v/>
      </c>
    </row>
    <row r="15">
      <c r="A15" s="12" t="n">
        <v>8</v>
      </c>
      <c r="B15" s="13" t="inlineStr">
        <is>
          <t>Укрепление откосов посевом трав</t>
        </is>
      </c>
      <c r="C15" s="14" t="inlineStr">
        <is>
          <t>Не учитывать</t>
        </is>
      </c>
      <c r="D15" s="12" t="inlineStr">
        <is>
          <t>м²</t>
        </is>
      </c>
      <c r="E15" s="15" t="n"/>
      <c r="F15" s="15" t="n"/>
      <c r="G15" s="16" t="n"/>
      <c r="H15" s="16" t="n"/>
      <c r="I15" s="16" t="n"/>
      <c r="J15" s="16" t="n"/>
      <c r="K15" s="16" t="n"/>
      <c r="L15" s="15" t="n"/>
      <c r="M15" s="15" t="n"/>
      <c r="N15" s="16" t="n"/>
      <c r="O15" s="16" t="n"/>
      <c r="P15" s="16" t="n"/>
      <c r="Q15" s="16" t="n"/>
      <c r="R15" s="16" t="n"/>
      <c r="S15" s="15" t="n"/>
      <c r="T15" s="15" t="n"/>
      <c r="U15" s="16" t="n"/>
      <c r="V15" s="16" t="n">
        <v>1550</v>
      </c>
      <c r="W15" s="16" t="n">
        <v>1550</v>
      </c>
      <c r="X15" s="16" t="n">
        <v>1550</v>
      </c>
      <c r="Y15" s="16" t="n">
        <v>1550</v>
      </c>
      <c r="Z15" s="15" t="n"/>
      <c r="AA15" s="15" t="n"/>
      <c r="AB15" s="16" t="n"/>
      <c r="AC15" s="16" t="n"/>
      <c r="AD15" s="16" t="n"/>
      <c r="AE15" s="16" t="n"/>
      <c r="AF15" s="16" t="n"/>
      <c r="AG15" s="15" t="n"/>
      <c r="AH15" s="15" t="n"/>
      <c r="AI15" s="16" t="n"/>
      <c r="AJ15" s="17">
        <f>SUM(E15:AI15)</f>
        <v/>
      </c>
    </row>
    <row r="16">
      <c r="A16" s="12" t="n">
        <v>9</v>
      </c>
      <c r="B16" s="13" t="inlineStr">
        <is>
          <t>Планировка откосов земляного полотна</t>
        </is>
      </c>
      <c r="C16" s="14" t="inlineStr">
        <is>
          <t>Не учитывать</t>
        </is>
      </c>
      <c r="D16" s="12" t="inlineStr">
        <is>
          <t>м²</t>
        </is>
      </c>
      <c r="E16" s="15" t="n">
        <v>300</v>
      </c>
      <c r="F16" s="15" t="n">
        <v>300</v>
      </c>
      <c r="G16" s="16" t="n">
        <v>300</v>
      </c>
      <c r="H16" s="16" t="n">
        <v>300</v>
      </c>
      <c r="I16" s="16" t="n">
        <v>300</v>
      </c>
      <c r="J16" s="16" t="n">
        <v>300</v>
      </c>
      <c r="K16" s="16" t="n">
        <v>300</v>
      </c>
      <c r="L16" s="15" t="n">
        <v>300</v>
      </c>
      <c r="M16" s="15" t="n">
        <v>300</v>
      </c>
      <c r="N16" s="16" t="n">
        <v>300</v>
      </c>
      <c r="O16" s="16" t="n">
        <v>300</v>
      </c>
      <c r="P16" s="16" t="n">
        <v>300</v>
      </c>
      <c r="Q16" s="16" t="n">
        <v>300</v>
      </c>
      <c r="R16" s="16" t="n">
        <v>300</v>
      </c>
      <c r="S16" s="15" t="n">
        <v>300</v>
      </c>
      <c r="T16" s="15" t="n">
        <v>300</v>
      </c>
      <c r="U16" s="16" t="n">
        <v>300</v>
      </c>
      <c r="V16" s="16" t="n">
        <v>300</v>
      </c>
      <c r="W16" s="16" t="n">
        <v>300</v>
      </c>
      <c r="X16" s="16" t="n">
        <v>300</v>
      </c>
      <c r="Y16" s="16" t="n">
        <v>300</v>
      </c>
      <c r="Z16" s="15" t="n"/>
      <c r="AA16" s="15" t="n"/>
      <c r="AB16" s="16" t="n"/>
      <c r="AC16" s="16" t="n"/>
      <c r="AD16" s="16" t="n"/>
      <c r="AE16" s="16" t="n"/>
      <c r="AF16" s="16" t="n"/>
      <c r="AG16" s="15" t="n"/>
      <c r="AH16" s="15" t="n"/>
      <c r="AI16" s="16" t="n"/>
      <c r="AJ16" s="17">
        <f>SUM(E16:AI16)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8">
        <f>SUM(E17:AI17)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18">
        <f>SUM(E18:AI18)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18">
        <f>SUM(E19:AI19)</f>
        <v/>
      </c>
    </row>
  </sheetData>
  <dataValidations count="1">
    <dataValidation sqref="C8 C9 C10 C11 C12 C13 C14 C15 C16 C17 C18 C19" showDropDown="0" showInputMessage="0" showErrorMessage="0" allowBlank="1" type="list">
      <formula1>Справочник!$A$2:$A$11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9" t="inlineStr">
        <is>
          <t>Вид работ (Классификация)</t>
        </is>
      </c>
      <c r="B1" s="19" t="inlineStr">
        <is>
          <t>Ед. изм. в отчёте</t>
        </is>
      </c>
    </row>
    <row r="2">
      <c r="A2" t="inlineStr">
        <is>
          <t>Строительство</t>
        </is>
      </c>
      <c r="B2" t="inlineStr">
        <is>
          <t>м³</t>
        </is>
      </c>
    </row>
    <row r="3">
      <c r="A3" t="inlineStr">
        <is>
          <t>Ремонт</t>
        </is>
      </c>
      <c r="B3" t="inlineStr">
        <is>
          <t>м³</t>
        </is>
      </c>
    </row>
    <row r="4">
      <c r="A4" t="inlineStr">
        <is>
          <t>Содержание</t>
        </is>
      </c>
      <c r="B4" t="inlineStr">
        <is>
          <t>км</t>
        </is>
      </c>
    </row>
    <row r="5">
      <c r="A5" t="inlineStr">
        <is>
          <t>Асфальтирование</t>
        </is>
      </c>
      <c r="B5" t="inlineStr">
        <is>
          <t>м²</t>
        </is>
      </c>
    </row>
    <row r="6">
      <c r="A6" t="inlineStr">
        <is>
          <t>Транспортные услуги</t>
        </is>
      </c>
      <c r="B6" t="inlineStr">
        <is>
          <t>маш.-ч</t>
        </is>
      </c>
    </row>
    <row r="7">
      <c r="A7" t="inlineStr">
        <is>
          <t>Дробление</t>
        </is>
      </c>
      <c r="B7" t="inlineStr">
        <is>
          <t>м³</t>
        </is>
      </c>
    </row>
    <row r="8">
      <c r="A8" t="inlineStr">
        <is>
          <t>Перевозка материалов (т)</t>
        </is>
      </c>
      <c r="B8" t="inlineStr">
        <is>
          <t>т</t>
        </is>
      </c>
    </row>
    <row r="9">
      <c r="A9" t="inlineStr">
        <is>
          <t>Перевозка материалов (м³)</t>
        </is>
      </c>
      <c r="B9" t="inlineStr">
        <is>
          <t>м³</t>
        </is>
      </c>
    </row>
    <row r="10">
      <c r="A10" t="inlineStr">
        <is>
          <t>Асфальтобетон (т)</t>
        </is>
      </c>
      <c r="B10" t="inlineStr">
        <is>
          <t>т</t>
        </is>
      </c>
    </row>
    <row r="11">
      <c r="A11" t="inlineStr">
        <is>
          <t>Не учитывать</t>
        </is>
      </c>
      <c r="B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2026-09-23T08:01:52Z</dcterms:created>
  <dcterms:modified xsi:type="dcterms:W3CDTF">2026-09-23T08:01:52Z</dcterms:modified>
</cp:coreProperties>
</file>