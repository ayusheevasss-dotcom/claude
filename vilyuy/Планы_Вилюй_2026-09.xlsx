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Дробление" sheetId="2" state="visible" r:id="rId2"/>
    <sheet name="Перевозка" sheetId="3" state="visible" r:id="rId3"/>
    <sheet name="Сменные работы" sheetId="4" state="visible" r:id="rId4"/>
    <sheet name="Автотранспорт" sheetId="5" state="visible" r:id="rId5"/>
    <sheet name="Капремонт ГК" sheetId="6" state="visible" r:id="rId6"/>
    <sheet name="Справочни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2">
    <font>
      <name val="Calibri"/>
      <family val="2"/>
      <color theme="1"/>
      <sz val="11"/>
      <scheme val="minor"/>
    </font>
    <font>
      <b val="1"/>
      <color rgb="0015191E"/>
      <sz val="15"/>
    </font>
    <font>
      <sz val="10.5"/>
    </font>
    <font>
      <b val="1"/>
      <color rgb="001F4E8C"/>
      <sz val="12"/>
    </font>
    <font>
      <b val="1"/>
      <color rgb="00FFFFFF"/>
    </font>
    <font>
      <sz val="10"/>
    </font>
    <font>
      <b val="1"/>
      <color rgb="0015191E"/>
      <sz val="14"/>
    </font>
    <font>
      <color rgb="0046505B"/>
      <sz val="10.5"/>
    </font>
    <font>
      <b val="1"/>
      <color rgb="00FFFFFF"/>
      <sz val="10"/>
    </font>
    <font>
      <color rgb="008A939D"/>
      <sz val="8.5"/>
    </font>
    <font>
      <b val="1"/>
      <sz val="10"/>
    </font>
    <font>
      <sz val="9.5"/>
    </font>
  </fonts>
  <fills count="6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F3E9D2"/>
      </patternFill>
    </fill>
    <fill>
      <patternFill patternType="solid">
        <fgColor rgb="00DCE8F5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ED4"/>
      </left>
      <right style="thin">
        <color rgb="00C9CED4"/>
      </right>
      <top style="thin">
        <color rgb="00C9CED4"/>
      </top>
      <bottom style="thin">
        <color rgb="00C9CE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0" fillId="4" borderId="1" pivotButton="0" quotePrefix="0" xfId="0"/>
    <xf numFmtId="0" fontId="1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164" fontId="11" fillId="0" borderId="1" pivotButton="0" quotePrefix="0" xfId="0"/>
    <xf numFmtId="164" fontId="11" fillId="3" borderId="1" pivotButton="0" quotePrefix="0" xfId="0"/>
    <xf numFmtId="164" fontId="10" fillId="5" borderId="1" pivotButton="0" quotePrefix="0" xfId="0"/>
    <xf numFmtId="164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1" customWidth="1" min="4" max="4"/>
    <col width="8" customWidth="1" min="5" max="5"/>
    <col width="40" customWidth="1" min="6" max="6"/>
    <col width="60" customWidth="1" min="7" max="7"/>
  </cols>
  <sheetData>
    <row r="1">
      <c r="A1" s="1" t="inlineStr">
        <is>
          <t>Планы работ участка «Вилюй» — сентябрь 2026 г.</t>
        </is>
      </c>
    </row>
    <row r="2">
      <c r="A2" s="2" t="inlineStr">
        <is>
          <t>Формат: один файл — один месяц, каждый проект участка — на своём листе.</t>
        </is>
      </c>
    </row>
    <row r="3">
      <c r="A3" s="2" t="inlineStr"/>
    </row>
    <row r="4">
      <c r="A4" s="3" t="inlineStr">
        <is>
          <t>Как заполнить лист проекта</t>
        </is>
      </c>
    </row>
    <row r="5">
      <c r="A5" s="2" t="inlineStr">
        <is>
          <t>1. Шапка листа: «План работ на &lt;месяц&gt; &lt;год&gt; г.», «Участок: Вилюй», «Проект: &lt;название&gt;», «Ответственный: &lt;ФИО&gt;».</t>
        </is>
      </c>
    </row>
    <row r="6">
      <c r="A6" s="2" t="inlineStr">
        <is>
          <t xml:space="preserve">    По строке «Проект» программа сама сопоставляет лист с проектом, название листа может быть любым.</t>
        </is>
      </c>
    </row>
    <row r="7">
      <c r="A7" s="2" t="inlineStr">
        <is>
          <t>2. Таблица: № | Наименование работ | Классификация | Ед. изм. | дни месяца 1 … 30 (31) | Итого за месяц.</t>
        </is>
      </c>
    </row>
    <row r="8">
      <c r="A8" s="2" t="inlineStr">
        <is>
          <t>3. В ячейке дня — плановый объём на этот день. Пустая ячейка — работа в этот день не планируется.</t>
        </is>
      </c>
    </row>
    <row r="9">
      <c r="A9" s="2" t="inlineStr">
        <is>
          <t>4. Классификация — выбор из списка (лист «Справочник»): определяет, в какой показатель отчёта попадёт работа.</t>
        </is>
      </c>
    </row>
    <row r="10">
      <c r="A10" s="2" t="inlineStr">
        <is>
          <t xml:space="preserve">    Объём суммируется в показатель, только если единица работы совпадает с единицей вида работ.</t>
        </is>
      </c>
    </row>
    <row r="11">
      <c r="A11" s="2" t="inlineStr">
        <is>
          <t>5. Строки-заголовки групп (например, «УДСК Лапчан») без чисел программа пропускает. «Итого» считается формулой.</t>
        </is>
      </c>
    </row>
    <row r="12">
      <c r="A12" s="2" t="inlineStr">
        <is>
          <t>6. Новая работа — новая строка. Названия работ не меняйте в течение месяца: по ним факт связывается с планом.</t>
        </is>
      </c>
    </row>
    <row r="13">
      <c r="A13" s="2" t="inlineStr"/>
    </row>
    <row r="14">
      <c r="A14" s="3" t="inlineStr">
        <is>
          <t>Загрузка в программу</t>
        </is>
      </c>
    </row>
    <row r="15">
      <c r="A15" s="2" t="inlineStr">
        <is>
          <t>Администратор → «Планы» → «Загрузка из Excel» → месяц → перетащить файл → проверить распознавание → «Загрузить».</t>
        </is>
      </c>
    </row>
    <row r="16">
      <c r="A16" s="2" t="inlineStr">
        <is>
          <t>Факт вносит ответственный проекта: «Ответственный» → участок «Вилюй» → свой проект → пароль → «Внесение объёмов».</t>
        </is>
      </c>
    </row>
    <row r="17">
      <c r="A17" s="2" t="inlineStr"/>
    </row>
    <row r="18">
      <c r="A18" s="3" t="inlineStr">
        <is>
          <t>Проекты участка</t>
        </is>
      </c>
    </row>
    <row r="19">
      <c r="A19" s="4" t="inlineStr">
        <is>
          <t>Лист</t>
        </is>
      </c>
      <c r="B19" s="4" t="inlineStr">
        <is>
          <t>Проект</t>
        </is>
      </c>
      <c r="C19" s="4" t="inlineStr">
        <is>
          <t>Ответственный</t>
        </is>
      </c>
      <c r="D19" s="4" t="inlineStr">
        <is>
          <t>Пароль (демо)</t>
        </is>
      </c>
      <c r="E19" s="4" t="inlineStr">
        <is>
          <t>Работ</t>
        </is>
      </c>
      <c r="F19" s="4" t="inlineStr">
        <is>
          <t>Исходный отчёт</t>
        </is>
      </c>
      <c r="G19" s="4" t="inlineStr">
        <is>
          <t>Как построен план</t>
        </is>
      </c>
    </row>
    <row r="20">
      <c r="A20" s="5" t="inlineStr">
        <is>
          <t>Дробление</t>
        </is>
      </c>
      <c r="B20" s="5" t="inlineStr">
        <is>
          <t>Дробление щебня (УДСК Лапчан, УДСК Мирный)</t>
        </is>
      </c>
      <c r="C20" s="5" t="inlineStr">
        <is>
          <t>Кузнецов Д. А.</t>
        </is>
      </c>
      <c r="D20" s="5" t="inlineStr">
        <is>
          <t>2201</t>
        </is>
      </c>
      <c r="E20" s="5" t="n">
        <v>10</v>
      </c>
      <c r="F20" s="5" t="inlineStr">
        <is>
          <t>Дробление_22.09.2026.xlsx</t>
        </is>
      </c>
      <c r="G20" s="5" t="inlineStr">
        <is>
          <t>В отчёте нет дневного плана: норма на день — средняя сменная выработка по каждой фракции, в дни работы установки.</t>
        </is>
      </c>
    </row>
    <row r="21">
      <c r="A21" s="5" t="inlineStr">
        <is>
          <t>Перевозка</t>
        </is>
      </c>
      <c r="B21" s="5" t="inlineStr">
        <is>
          <t>Перевозка материалов (месячно-суточный график)</t>
        </is>
      </c>
      <c r="C21" s="5" t="inlineStr">
        <is>
          <t>Семёнова О. В.</t>
        </is>
      </c>
      <c r="D21" s="5" t="inlineStr">
        <is>
          <t>2202</t>
        </is>
      </c>
      <c r="E21" s="5" t="n">
        <v>5</v>
      </c>
      <c r="F21" s="5" t="inlineStr">
        <is>
          <t>Месячно-суточный_график_перевозки_сентябрь.xls</t>
        </is>
      </c>
      <c r="G21" s="5" t="inlineStr">
        <is>
          <t>План по дням перенесён из месячно-суточного графика перевозки без изменений.</t>
        </is>
      </c>
    </row>
    <row r="22">
      <c r="A22" s="5" t="inlineStr">
        <is>
          <t>Сменные работы</t>
        </is>
      </c>
      <c r="B22" s="5" t="inlineStr">
        <is>
          <t>Сменные работы км 1180–1190 (накопительная сводка)</t>
        </is>
      </c>
      <c r="C22" s="5" t="inlineStr">
        <is>
          <t>Николаев П. С.</t>
        </is>
      </c>
      <c r="D22" s="5" t="inlineStr">
        <is>
          <t>2203</t>
        </is>
      </c>
      <c r="E22" s="5" t="n">
        <v>6</v>
      </c>
      <c r="F22" s="5" t="inlineStr">
        <is>
          <t>Накопительная_сводка_км1180-1190_19.08.2026.xlsx</t>
        </is>
      </c>
      <c r="G22" s="5" t="inlineStr">
        <is>
          <t>Последняя сводка — на 19.08: норма на сентябрь — по выработке августа.</t>
        </is>
      </c>
    </row>
    <row r="23">
      <c r="A23" s="5" t="inlineStr">
        <is>
          <t>Автотранспорт</t>
        </is>
      </c>
      <c r="B23" s="5" t="inlineStr">
        <is>
          <t>Автотранспорт (рейсы по машинам)</t>
        </is>
      </c>
      <c r="C23" s="5" t="inlineStr">
        <is>
          <t>Егорова М. И.</t>
        </is>
      </c>
      <c r="D23" s="5" t="inlineStr">
        <is>
          <t>2204</t>
        </is>
      </c>
      <c r="E23" s="5" t="n">
        <v>12</v>
      </c>
      <c r="F23" s="5" t="inlineStr">
        <is>
          <t>Суточный_отчёт_автотранспорт_сентябрь.xlsx</t>
        </is>
      </c>
      <c r="G23" s="5" t="inlineStr">
        <is>
          <t>План — суточные задания (рейсы × объём кузова) с листов 09–22.09; на 23–30.09 — задание 22.09.</t>
        </is>
      </c>
    </row>
    <row r="24">
      <c r="A24" s="5" t="inlineStr">
        <is>
          <t>Капремонт ГК</t>
        </is>
      </c>
      <c r="B24" s="5" t="inlineStr">
        <is>
          <t>Капремонт км 1180–1190 (ход работ по ГК)</t>
        </is>
      </c>
      <c r="C24" s="5" t="inlineStr">
        <is>
          <t>Попов А. Г.</t>
        </is>
      </c>
      <c r="D24" s="5" t="inlineStr">
        <is>
          <t>2205</t>
        </is>
      </c>
      <c r="E24" s="5" t="n">
        <v>8</v>
      </c>
      <c r="F24" s="5" t="inlineStr">
        <is>
          <t>Исполнительная_схема_км1180-1190_22.09.2026.xlsx</t>
        </is>
      </c>
      <c r="G24" s="5" t="inlineStr">
        <is>
          <t>Норма на день — средний суточный прирост по исполнительной схеме (нарастающий итог и «за сутки»).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12" customWidth="1" min="35" max="35"/>
  </cols>
  <sheetData>
    <row r="1">
      <c r="A1" s="6" t="inlineStr">
        <is>
          <t>План работ на сентябрь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Дробление щебня (УДСК Лапчан, УДСК Мирный)</t>
        </is>
      </c>
    </row>
    <row r="4">
      <c r="A4" s="7" t="inlineStr">
        <is>
          <t>Ответственный: Кузнецов Д. А.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вт</t>
        </is>
      </c>
      <c r="F7" s="10" t="inlineStr">
        <is>
          <t>ср</t>
        </is>
      </c>
      <c r="G7" s="10" t="inlineStr">
        <is>
          <t>чт</t>
        </is>
      </c>
      <c r="H7" s="10" t="inlineStr">
        <is>
          <t>пт</t>
        </is>
      </c>
      <c r="I7" s="11" t="inlineStr">
        <is>
          <t>сб</t>
        </is>
      </c>
      <c r="J7" s="11" t="inlineStr">
        <is>
          <t>вс</t>
        </is>
      </c>
      <c r="K7" s="10" t="inlineStr">
        <is>
          <t>пн</t>
        </is>
      </c>
      <c r="L7" s="10" t="inlineStr">
        <is>
          <t>вт</t>
        </is>
      </c>
      <c r="M7" s="10" t="inlineStr">
        <is>
          <t>ср</t>
        </is>
      </c>
      <c r="N7" s="10" t="inlineStr">
        <is>
          <t>чт</t>
        </is>
      </c>
      <c r="O7" s="10" t="inlineStr">
        <is>
          <t>пт</t>
        </is>
      </c>
      <c r="P7" s="11" t="inlineStr">
        <is>
          <t>сб</t>
        </is>
      </c>
      <c r="Q7" s="11" t="inlineStr">
        <is>
          <t>вс</t>
        </is>
      </c>
      <c r="R7" s="10" t="inlineStr">
        <is>
          <t>пн</t>
        </is>
      </c>
      <c r="S7" s="10" t="inlineStr">
        <is>
          <t>вт</t>
        </is>
      </c>
      <c r="T7" s="10" t="inlineStr">
        <is>
          <t>ср</t>
        </is>
      </c>
      <c r="U7" s="10" t="inlineStr">
        <is>
          <t>чт</t>
        </is>
      </c>
      <c r="V7" s="10" t="inlineStr">
        <is>
          <t>пт</t>
        </is>
      </c>
      <c r="W7" s="11" t="inlineStr">
        <is>
          <t>сб</t>
        </is>
      </c>
      <c r="X7" s="11" t="inlineStr">
        <is>
          <t>вс</t>
        </is>
      </c>
      <c r="Y7" s="10" t="inlineStr">
        <is>
          <t>пн</t>
        </is>
      </c>
      <c r="Z7" s="10" t="inlineStr">
        <is>
          <t>вт</t>
        </is>
      </c>
      <c r="AA7" s="10" t="inlineStr">
        <is>
          <t>ср</t>
        </is>
      </c>
      <c r="AB7" s="10" t="inlineStr">
        <is>
          <t>чт</t>
        </is>
      </c>
      <c r="AC7" s="10" t="inlineStr">
        <is>
          <t>пт</t>
        </is>
      </c>
      <c r="AD7" s="11" t="inlineStr">
        <is>
          <t>сб</t>
        </is>
      </c>
      <c r="AE7" s="11" t="inlineStr">
        <is>
          <t>вс</t>
        </is>
      </c>
      <c r="AF7" s="10" t="inlineStr">
        <is>
          <t>пн</t>
        </is>
      </c>
      <c r="AG7" s="10" t="inlineStr">
        <is>
          <t>вт</t>
        </is>
      </c>
      <c r="AH7" s="10" t="inlineStr">
        <is>
          <t>ср</t>
        </is>
      </c>
      <c r="AI7" s="9" t="n"/>
    </row>
    <row r="8">
      <c r="A8" s="12" t="n"/>
      <c r="B8" s="13" t="inlineStr">
        <is>
          <t>УДСК Лапчан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</row>
    <row r="9">
      <c r="A9" s="14" t="n">
        <v>1</v>
      </c>
      <c r="B9" s="15" t="inlineStr">
        <is>
          <t>УДСК Лапчан: ЩПС 0/63</t>
        </is>
      </c>
      <c r="C9" s="16" t="inlineStr">
        <is>
          <t>Дробление</t>
        </is>
      </c>
      <c r="D9" s="14" t="inlineStr">
        <is>
          <t>м³</t>
        </is>
      </c>
      <c r="E9" s="17" t="n"/>
      <c r="F9" s="17" t="n"/>
      <c r="G9" s="17" t="n"/>
      <c r="H9" s="17" t="n"/>
      <c r="I9" s="18" t="n"/>
      <c r="J9" s="18" t="n"/>
      <c r="K9" s="17" t="n"/>
      <c r="L9" s="17" t="n"/>
      <c r="M9" s="17" t="n"/>
      <c r="N9" s="17" t="n"/>
      <c r="O9" s="17" t="n"/>
      <c r="P9" s="18" t="n"/>
      <c r="Q9" s="18" t="n"/>
      <c r="R9" s="17" t="n"/>
      <c r="S9" s="17" t="n"/>
      <c r="T9" s="17" t="n"/>
      <c r="U9" s="17" t="n"/>
      <c r="V9" s="17" t="n"/>
      <c r="W9" s="18" t="n">
        <v>300</v>
      </c>
      <c r="X9" s="18" t="n">
        <v>300</v>
      </c>
      <c r="Y9" s="17" t="n">
        <v>300</v>
      </c>
      <c r="Z9" s="17" t="n">
        <v>300</v>
      </c>
      <c r="AA9" s="17" t="n">
        <v>300</v>
      </c>
      <c r="AB9" s="17" t="n">
        <v>300</v>
      </c>
      <c r="AC9" s="17" t="n">
        <v>300</v>
      </c>
      <c r="AD9" s="18" t="n">
        <v>300</v>
      </c>
      <c r="AE9" s="18" t="n">
        <v>300</v>
      </c>
      <c r="AF9" s="17" t="n">
        <v>300</v>
      </c>
      <c r="AG9" s="17" t="n">
        <v>300</v>
      </c>
      <c r="AH9" s="17" t="n">
        <v>300</v>
      </c>
      <c r="AI9" s="19">
        <f>SUM(E9:AH9)</f>
        <v/>
      </c>
    </row>
    <row r="10">
      <c r="A10" s="14" t="n">
        <v>2</v>
      </c>
      <c r="B10" s="15" t="inlineStr">
        <is>
          <t>Дробмаш: щебень фр. 0-4</t>
        </is>
      </c>
      <c r="C10" s="16" t="inlineStr">
        <is>
          <t>Дробление</t>
        </is>
      </c>
      <c r="D10" s="14" t="inlineStr">
        <is>
          <t>м³</t>
        </is>
      </c>
      <c r="E10" s="17" t="n"/>
      <c r="F10" s="17" t="n"/>
      <c r="G10" s="17" t="n"/>
      <c r="H10" s="17" t="n"/>
      <c r="I10" s="18" t="n"/>
      <c r="J10" s="18" t="n"/>
      <c r="K10" s="17" t="n"/>
      <c r="L10" s="17" t="n"/>
      <c r="M10" s="17" t="n"/>
      <c r="N10" s="17" t="n">
        <v>45</v>
      </c>
      <c r="O10" s="17" t="n">
        <v>45</v>
      </c>
      <c r="P10" s="18" t="n">
        <v>45</v>
      </c>
      <c r="Q10" s="18" t="n">
        <v>45</v>
      </c>
      <c r="R10" s="17" t="n">
        <v>45</v>
      </c>
      <c r="S10" s="17" t="n">
        <v>45</v>
      </c>
      <c r="T10" s="17" t="n">
        <v>45</v>
      </c>
      <c r="U10" s="17" t="n">
        <v>45</v>
      </c>
      <c r="V10" s="17" t="n"/>
      <c r="W10" s="18" t="n"/>
      <c r="X10" s="18" t="n"/>
      <c r="Y10" s="17" t="n"/>
      <c r="Z10" s="17" t="n"/>
      <c r="AA10" s="17" t="n"/>
      <c r="AB10" s="17" t="n"/>
      <c r="AC10" s="17" t="n"/>
      <c r="AD10" s="18" t="n"/>
      <c r="AE10" s="18" t="n"/>
      <c r="AF10" s="17" t="n"/>
      <c r="AG10" s="17" t="n"/>
      <c r="AH10" s="17" t="n"/>
      <c r="AI10" s="19">
        <f>SUM(E10:AH10)</f>
        <v/>
      </c>
    </row>
    <row r="11">
      <c r="A11" s="14" t="n">
        <v>3</v>
      </c>
      <c r="B11" s="15" t="inlineStr">
        <is>
          <t>Дробмаш: щебень фр. 4-8</t>
        </is>
      </c>
      <c r="C11" s="16" t="inlineStr">
        <is>
          <t>Дробление</t>
        </is>
      </c>
      <c r="D11" s="14" t="inlineStr">
        <is>
          <t>м³</t>
        </is>
      </c>
      <c r="E11" s="17" t="n"/>
      <c r="F11" s="17" t="n"/>
      <c r="G11" s="17" t="n"/>
      <c r="H11" s="17" t="n"/>
      <c r="I11" s="18" t="n"/>
      <c r="J11" s="18" t="n"/>
      <c r="K11" s="17" t="n"/>
      <c r="L11" s="17" t="n"/>
      <c r="M11" s="17" t="n"/>
      <c r="N11" s="17" t="n">
        <v>30</v>
      </c>
      <c r="O11" s="17" t="n">
        <v>30</v>
      </c>
      <c r="P11" s="18" t="n">
        <v>30</v>
      </c>
      <c r="Q11" s="18" t="n">
        <v>30</v>
      </c>
      <c r="R11" s="17" t="n">
        <v>30</v>
      </c>
      <c r="S11" s="17" t="n">
        <v>30</v>
      </c>
      <c r="T11" s="17" t="n">
        <v>30</v>
      </c>
      <c r="U11" s="17" t="n">
        <v>30</v>
      </c>
      <c r="V11" s="17" t="n"/>
      <c r="W11" s="18" t="n"/>
      <c r="X11" s="18" t="n"/>
      <c r="Y11" s="17" t="n"/>
      <c r="Z11" s="17" t="n"/>
      <c r="AA11" s="17" t="n"/>
      <c r="AB11" s="17" t="n"/>
      <c r="AC11" s="17" t="n"/>
      <c r="AD11" s="18" t="n"/>
      <c r="AE11" s="18" t="n"/>
      <c r="AF11" s="17" t="n"/>
      <c r="AG11" s="17" t="n"/>
      <c r="AH11" s="17" t="n"/>
      <c r="AI11" s="19">
        <f>SUM(E11:AH11)</f>
        <v/>
      </c>
    </row>
    <row r="12">
      <c r="A12" s="14" t="n">
        <v>4</v>
      </c>
      <c r="B12" s="15" t="inlineStr">
        <is>
          <t>Дробмаш: щебень фр. 8-11</t>
        </is>
      </c>
      <c r="C12" s="16" t="inlineStr">
        <is>
          <t>Дробление</t>
        </is>
      </c>
      <c r="D12" s="14" t="inlineStr">
        <is>
          <t>м³</t>
        </is>
      </c>
      <c r="E12" s="17" t="n"/>
      <c r="F12" s="17" t="n"/>
      <c r="G12" s="17" t="n"/>
      <c r="H12" s="17" t="n"/>
      <c r="I12" s="18" t="n"/>
      <c r="J12" s="18" t="n"/>
      <c r="K12" s="17" t="n"/>
      <c r="L12" s="17" t="n"/>
      <c r="M12" s="17" t="n"/>
      <c r="N12" s="17" t="n">
        <v>30</v>
      </c>
      <c r="O12" s="17" t="n">
        <v>30</v>
      </c>
      <c r="P12" s="18" t="n">
        <v>30</v>
      </c>
      <c r="Q12" s="18" t="n">
        <v>30</v>
      </c>
      <c r="R12" s="17" t="n">
        <v>30</v>
      </c>
      <c r="S12" s="17" t="n">
        <v>30</v>
      </c>
      <c r="T12" s="17" t="n">
        <v>30</v>
      </c>
      <c r="U12" s="17" t="n">
        <v>30</v>
      </c>
      <c r="V12" s="17" t="n"/>
      <c r="W12" s="18" t="n"/>
      <c r="X12" s="18" t="n"/>
      <c r="Y12" s="17" t="n"/>
      <c r="Z12" s="17" t="n"/>
      <c r="AA12" s="17" t="n"/>
      <c r="AB12" s="17" t="n"/>
      <c r="AC12" s="17" t="n"/>
      <c r="AD12" s="18" t="n"/>
      <c r="AE12" s="18" t="n"/>
      <c r="AF12" s="17" t="n"/>
      <c r="AG12" s="17" t="n"/>
      <c r="AH12" s="17" t="n"/>
      <c r="AI12" s="19">
        <f>SUM(E12:AH12)</f>
        <v/>
      </c>
    </row>
    <row r="13">
      <c r="A13" s="14" t="n">
        <v>5</v>
      </c>
      <c r="B13" s="15" t="inlineStr">
        <is>
          <t>Дробмаш: щебень фр. 11-16</t>
        </is>
      </c>
      <c r="C13" s="16" t="inlineStr">
        <is>
          <t>Дробление</t>
        </is>
      </c>
      <c r="D13" s="14" t="inlineStr">
        <is>
          <t>м³</t>
        </is>
      </c>
      <c r="E13" s="17" t="n"/>
      <c r="F13" s="17" t="n"/>
      <c r="G13" s="17" t="n"/>
      <c r="H13" s="17" t="n"/>
      <c r="I13" s="18" t="n"/>
      <c r="J13" s="18" t="n"/>
      <c r="K13" s="17" t="n"/>
      <c r="L13" s="17" t="n"/>
      <c r="M13" s="17" t="n"/>
      <c r="N13" s="17" t="n">
        <v>60</v>
      </c>
      <c r="O13" s="17" t="n">
        <v>60</v>
      </c>
      <c r="P13" s="18" t="n">
        <v>60</v>
      </c>
      <c r="Q13" s="18" t="n">
        <v>60</v>
      </c>
      <c r="R13" s="17" t="n">
        <v>60</v>
      </c>
      <c r="S13" s="17" t="n">
        <v>60</v>
      </c>
      <c r="T13" s="17" t="n">
        <v>60</v>
      </c>
      <c r="U13" s="17" t="n">
        <v>60</v>
      </c>
      <c r="V13" s="17" t="n"/>
      <c r="W13" s="18" t="n"/>
      <c r="X13" s="18" t="n"/>
      <c r="Y13" s="17" t="n"/>
      <c r="Z13" s="17" t="n"/>
      <c r="AA13" s="17" t="n"/>
      <c r="AB13" s="17" t="n"/>
      <c r="AC13" s="17" t="n"/>
      <c r="AD13" s="18" t="n"/>
      <c r="AE13" s="18" t="n"/>
      <c r="AF13" s="17" t="n"/>
      <c r="AG13" s="17" t="n"/>
      <c r="AH13" s="17" t="n"/>
      <c r="AI13" s="19">
        <f>SUM(E13:AH13)</f>
        <v/>
      </c>
    </row>
    <row r="14">
      <c r="A14" s="14" t="n">
        <v>6</v>
      </c>
      <c r="B14" s="15" t="inlineStr">
        <is>
          <t>Дробмаш: щебень фр. 0-16</t>
        </is>
      </c>
      <c r="C14" s="16" t="inlineStr">
        <is>
          <t>Дробление</t>
        </is>
      </c>
      <c r="D14" s="14" t="inlineStr">
        <is>
          <t>м³</t>
        </is>
      </c>
      <c r="E14" s="17" t="n">
        <v>65</v>
      </c>
      <c r="F14" s="17" t="n">
        <v>65</v>
      </c>
      <c r="G14" s="17" t="n">
        <v>65</v>
      </c>
      <c r="H14" s="17" t="n">
        <v>65</v>
      </c>
      <c r="I14" s="18" t="n">
        <v>65</v>
      </c>
      <c r="J14" s="18" t="n">
        <v>65</v>
      </c>
      <c r="K14" s="17" t="n">
        <v>65</v>
      </c>
      <c r="L14" s="17" t="n">
        <v>65</v>
      </c>
      <c r="M14" s="17" t="n">
        <v>65</v>
      </c>
      <c r="N14" s="17" t="n"/>
      <c r="O14" s="17" t="n"/>
      <c r="P14" s="18" t="n"/>
      <c r="Q14" s="18" t="n"/>
      <c r="R14" s="17" t="n"/>
      <c r="S14" s="17" t="n"/>
      <c r="T14" s="17" t="n"/>
      <c r="U14" s="17" t="n"/>
      <c r="V14" s="17" t="n"/>
      <c r="W14" s="18" t="n"/>
      <c r="X14" s="18" t="n"/>
      <c r="Y14" s="17" t="n"/>
      <c r="Z14" s="17" t="n"/>
      <c r="AA14" s="17" t="n"/>
      <c r="AB14" s="17" t="n"/>
      <c r="AC14" s="17" t="n"/>
      <c r="AD14" s="18" t="n"/>
      <c r="AE14" s="18" t="n"/>
      <c r="AF14" s="17" t="n"/>
      <c r="AG14" s="17" t="n"/>
      <c r="AH14" s="17" t="n"/>
      <c r="AI14" s="19">
        <f>SUM(E14:AH14)</f>
        <v/>
      </c>
    </row>
    <row r="15">
      <c r="A15" s="14" t="n">
        <v>7</v>
      </c>
      <c r="B15" s="15" t="inlineStr">
        <is>
          <t>Дробмаш: щебень фр. 16-31,5</t>
        </is>
      </c>
      <c r="C15" s="16" t="inlineStr">
        <is>
          <t>Дробление</t>
        </is>
      </c>
      <c r="D15" s="14" t="inlineStr">
        <is>
          <t>м³</t>
        </is>
      </c>
      <c r="E15" s="17" t="n">
        <v>75</v>
      </c>
      <c r="F15" s="17" t="n">
        <v>75</v>
      </c>
      <c r="G15" s="17" t="n">
        <v>75</v>
      </c>
      <c r="H15" s="17" t="n">
        <v>75</v>
      </c>
      <c r="I15" s="18" t="n">
        <v>75</v>
      </c>
      <c r="J15" s="18" t="n">
        <v>75</v>
      </c>
      <c r="K15" s="17" t="n">
        <v>75</v>
      </c>
      <c r="L15" s="17" t="n">
        <v>75</v>
      </c>
      <c r="M15" s="17" t="n">
        <v>75</v>
      </c>
      <c r="N15" s="17" t="n"/>
      <c r="O15" s="17" t="n"/>
      <c r="P15" s="18" t="n"/>
      <c r="Q15" s="18" t="n"/>
      <c r="R15" s="17" t="n"/>
      <c r="S15" s="17" t="n"/>
      <c r="T15" s="17" t="n"/>
      <c r="U15" s="17" t="n"/>
      <c r="V15" s="17" t="n"/>
      <c r="W15" s="18" t="n"/>
      <c r="X15" s="18" t="n"/>
      <c r="Y15" s="17" t="n"/>
      <c r="Z15" s="17" t="n"/>
      <c r="AA15" s="17" t="n"/>
      <c r="AB15" s="17" t="n"/>
      <c r="AC15" s="17" t="n"/>
      <c r="AD15" s="18" t="n"/>
      <c r="AE15" s="18" t="n"/>
      <c r="AF15" s="17" t="n"/>
      <c r="AG15" s="17" t="n"/>
      <c r="AH15" s="17" t="n"/>
      <c r="AI15" s="19">
        <f>SUM(E15:AH15)</f>
        <v/>
      </c>
    </row>
    <row r="16">
      <c r="A16" s="14" t="n">
        <v>8</v>
      </c>
      <c r="B16" s="15" t="inlineStr">
        <is>
          <t>Локотрак: ЩПС 0/63</t>
        </is>
      </c>
      <c r="C16" s="16" t="inlineStr">
        <is>
          <t>Дробление</t>
        </is>
      </c>
      <c r="D16" s="14" t="inlineStr">
        <is>
          <t>м³</t>
        </is>
      </c>
      <c r="E16" s="17" t="n">
        <v>125</v>
      </c>
      <c r="F16" s="17" t="n">
        <v>125</v>
      </c>
      <c r="G16" s="17" t="n">
        <v>125</v>
      </c>
      <c r="H16" s="17" t="n">
        <v>125</v>
      </c>
      <c r="I16" s="18" t="n">
        <v>125</v>
      </c>
      <c r="J16" s="18" t="n">
        <v>125</v>
      </c>
      <c r="K16" s="17" t="n">
        <v>125</v>
      </c>
      <c r="L16" s="17" t="n">
        <v>125</v>
      </c>
      <c r="M16" s="17" t="n">
        <v>125</v>
      </c>
      <c r="N16" s="17" t="n">
        <v>125</v>
      </c>
      <c r="O16" s="17" t="n">
        <v>125</v>
      </c>
      <c r="P16" s="18" t="n">
        <v>125</v>
      </c>
      <c r="Q16" s="18" t="n">
        <v>125</v>
      </c>
      <c r="R16" s="17" t="n">
        <v>125</v>
      </c>
      <c r="S16" s="17" t="n">
        <v>125</v>
      </c>
      <c r="T16" s="17" t="n">
        <v>125</v>
      </c>
      <c r="U16" s="17" t="n">
        <v>125</v>
      </c>
      <c r="V16" s="17" t="n">
        <v>125</v>
      </c>
      <c r="W16" s="18" t="n">
        <v>125</v>
      </c>
      <c r="X16" s="18" t="n">
        <v>125</v>
      </c>
      <c r="Y16" s="17" t="n">
        <v>125</v>
      </c>
      <c r="Z16" s="17" t="n">
        <v>125</v>
      </c>
      <c r="AA16" s="17" t="n">
        <v>125</v>
      </c>
      <c r="AB16" s="17" t="n">
        <v>125</v>
      </c>
      <c r="AC16" s="17" t="n">
        <v>125</v>
      </c>
      <c r="AD16" s="18" t="n">
        <v>125</v>
      </c>
      <c r="AE16" s="18" t="n">
        <v>125</v>
      </c>
      <c r="AF16" s="17" t="n">
        <v>125</v>
      </c>
      <c r="AG16" s="17" t="n">
        <v>125</v>
      </c>
      <c r="AH16" s="17" t="n">
        <v>125</v>
      </c>
      <c r="AI16" s="19">
        <f>SUM(E16:AH16)</f>
        <v/>
      </c>
    </row>
    <row r="17">
      <c r="A17" s="12" t="n"/>
      <c r="B17" s="13" t="inlineStr">
        <is>
          <t>УДСК Мирный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>
      <c r="A18" s="14" t="n">
        <v>9</v>
      </c>
      <c r="B18" s="15" t="inlineStr">
        <is>
          <t>УДСК Мирный: щебень фр. 16-32</t>
        </is>
      </c>
      <c r="C18" s="16" t="inlineStr">
        <is>
          <t>Дробление</t>
        </is>
      </c>
      <c r="D18" s="14" t="inlineStr">
        <is>
          <t>м³</t>
        </is>
      </c>
      <c r="E18" s="17" t="n">
        <v>85</v>
      </c>
      <c r="F18" s="17" t="n">
        <v>85</v>
      </c>
      <c r="G18" s="17" t="n">
        <v>85</v>
      </c>
      <c r="H18" s="17" t="n">
        <v>85</v>
      </c>
      <c r="I18" s="18" t="n">
        <v>85</v>
      </c>
      <c r="J18" s="18" t="n">
        <v>85</v>
      </c>
      <c r="K18" s="17" t="n">
        <v>85</v>
      </c>
      <c r="L18" s="17" t="n">
        <v>85</v>
      </c>
      <c r="M18" s="17" t="n">
        <v>85</v>
      </c>
      <c r="N18" s="17" t="n">
        <v>85</v>
      </c>
      <c r="O18" s="17" t="n">
        <v>85</v>
      </c>
      <c r="P18" s="18" t="n">
        <v>85</v>
      </c>
      <c r="Q18" s="18" t="n">
        <v>85</v>
      </c>
      <c r="R18" s="17" t="n">
        <v>85</v>
      </c>
      <c r="S18" s="17" t="n">
        <v>85</v>
      </c>
      <c r="T18" s="17" t="n">
        <v>85</v>
      </c>
      <c r="U18" s="17" t="n">
        <v>85</v>
      </c>
      <c r="V18" s="17" t="n">
        <v>85</v>
      </c>
      <c r="W18" s="18" t="n">
        <v>85</v>
      </c>
      <c r="X18" s="18" t="n">
        <v>85</v>
      </c>
      <c r="Y18" s="17" t="n">
        <v>85</v>
      </c>
      <c r="Z18" s="17" t="n">
        <v>85</v>
      </c>
      <c r="AA18" s="17" t="n">
        <v>85</v>
      </c>
      <c r="AB18" s="17" t="n">
        <v>85</v>
      </c>
      <c r="AC18" s="17" t="n">
        <v>85</v>
      </c>
      <c r="AD18" s="18" t="n">
        <v>85</v>
      </c>
      <c r="AE18" s="18" t="n">
        <v>85</v>
      </c>
      <c r="AF18" s="17" t="n">
        <v>85</v>
      </c>
      <c r="AG18" s="17" t="n">
        <v>85</v>
      </c>
      <c r="AH18" s="17" t="n">
        <v>85</v>
      </c>
      <c r="AI18" s="19">
        <f>SUM(E18:AH18)</f>
        <v/>
      </c>
    </row>
    <row r="19">
      <c r="A19" s="14" t="n">
        <v>10</v>
      </c>
      <c r="B19" s="15" t="inlineStr">
        <is>
          <t>УДСК Мирный: щебень фр. 0-16</t>
        </is>
      </c>
      <c r="C19" s="16" t="inlineStr">
        <is>
          <t>Дробление</t>
        </is>
      </c>
      <c r="D19" s="14" t="inlineStr">
        <is>
          <t>м³</t>
        </is>
      </c>
      <c r="E19" s="17" t="n">
        <v>75</v>
      </c>
      <c r="F19" s="17" t="n">
        <v>75</v>
      </c>
      <c r="G19" s="17" t="n">
        <v>75</v>
      </c>
      <c r="H19" s="17" t="n">
        <v>75</v>
      </c>
      <c r="I19" s="18" t="n">
        <v>75</v>
      </c>
      <c r="J19" s="18" t="n">
        <v>75</v>
      </c>
      <c r="K19" s="17" t="n">
        <v>75</v>
      </c>
      <c r="L19" s="17" t="n">
        <v>75</v>
      </c>
      <c r="M19" s="17" t="n">
        <v>75</v>
      </c>
      <c r="N19" s="17" t="n">
        <v>75</v>
      </c>
      <c r="O19" s="17" t="n">
        <v>75</v>
      </c>
      <c r="P19" s="18" t="n">
        <v>75</v>
      </c>
      <c r="Q19" s="18" t="n">
        <v>75</v>
      </c>
      <c r="R19" s="17" t="n">
        <v>75</v>
      </c>
      <c r="S19" s="17" t="n">
        <v>75</v>
      </c>
      <c r="T19" s="17" t="n">
        <v>75</v>
      </c>
      <c r="U19" s="17" t="n">
        <v>75</v>
      </c>
      <c r="V19" s="17" t="n">
        <v>75</v>
      </c>
      <c r="W19" s="18" t="n">
        <v>75</v>
      </c>
      <c r="X19" s="18" t="n">
        <v>75</v>
      </c>
      <c r="Y19" s="17" t="n">
        <v>75</v>
      </c>
      <c r="Z19" s="17" t="n">
        <v>75</v>
      </c>
      <c r="AA19" s="17" t="n">
        <v>75</v>
      </c>
      <c r="AB19" s="17" t="n">
        <v>75</v>
      </c>
      <c r="AC19" s="17" t="n">
        <v>75</v>
      </c>
      <c r="AD19" s="18" t="n">
        <v>75</v>
      </c>
      <c r="AE19" s="18" t="n">
        <v>75</v>
      </c>
      <c r="AF19" s="17" t="n">
        <v>75</v>
      </c>
      <c r="AG19" s="17" t="n">
        <v>75</v>
      </c>
      <c r="AH19" s="17" t="n">
        <v>75</v>
      </c>
      <c r="AI19" s="19">
        <f>SUM(E19:AH19)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20">
        <f>SUM(E20:AH20)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20">
        <f>SUM(E21:AH21)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20">
        <f>SUM(E22:AH22)</f>
        <v/>
      </c>
    </row>
  </sheetData>
  <dataValidations count="1">
    <dataValidation sqref="C9 C10 C11 C12 C13 C14 C15 C16 C18 C19 C20 C21 C22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12" customWidth="1" min="35" max="35"/>
  </cols>
  <sheetData>
    <row r="1">
      <c r="A1" s="6" t="inlineStr">
        <is>
          <t>План работ на сентябрь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Перевозка материалов (месячно-суточный график)</t>
        </is>
      </c>
    </row>
    <row r="4">
      <c r="A4" s="7" t="inlineStr">
        <is>
          <t>Ответственный: Семёнова О. В.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вт</t>
        </is>
      </c>
      <c r="F7" s="10" t="inlineStr">
        <is>
          <t>ср</t>
        </is>
      </c>
      <c r="G7" s="10" t="inlineStr">
        <is>
          <t>чт</t>
        </is>
      </c>
      <c r="H7" s="10" t="inlineStr">
        <is>
          <t>пт</t>
        </is>
      </c>
      <c r="I7" s="11" t="inlineStr">
        <is>
          <t>сб</t>
        </is>
      </c>
      <c r="J7" s="11" t="inlineStr">
        <is>
          <t>вс</t>
        </is>
      </c>
      <c r="K7" s="10" t="inlineStr">
        <is>
          <t>пн</t>
        </is>
      </c>
      <c r="L7" s="10" t="inlineStr">
        <is>
          <t>вт</t>
        </is>
      </c>
      <c r="M7" s="10" t="inlineStr">
        <is>
          <t>ср</t>
        </is>
      </c>
      <c r="N7" s="10" t="inlineStr">
        <is>
          <t>чт</t>
        </is>
      </c>
      <c r="O7" s="10" t="inlineStr">
        <is>
          <t>пт</t>
        </is>
      </c>
      <c r="P7" s="11" t="inlineStr">
        <is>
          <t>сб</t>
        </is>
      </c>
      <c r="Q7" s="11" t="inlineStr">
        <is>
          <t>вс</t>
        </is>
      </c>
      <c r="R7" s="10" t="inlineStr">
        <is>
          <t>пн</t>
        </is>
      </c>
      <c r="S7" s="10" t="inlineStr">
        <is>
          <t>вт</t>
        </is>
      </c>
      <c r="T7" s="10" t="inlineStr">
        <is>
          <t>ср</t>
        </is>
      </c>
      <c r="U7" s="10" t="inlineStr">
        <is>
          <t>чт</t>
        </is>
      </c>
      <c r="V7" s="10" t="inlineStr">
        <is>
          <t>пт</t>
        </is>
      </c>
      <c r="W7" s="11" t="inlineStr">
        <is>
          <t>сб</t>
        </is>
      </c>
      <c r="X7" s="11" t="inlineStr">
        <is>
          <t>вс</t>
        </is>
      </c>
      <c r="Y7" s="10" t="inlineStr">
        <is>
          <t>пн</t>
        </is>
      </c>
      <c r="Z7" s="10" t="inlineStr">
        <is>
          <t>вт</t>
        </is>
      </c>
      <c r="AA7" s="10" t="inlineStr">
        <is>
          <t>ср</t>
        </is>
      </c>
      <c r="AB7" s="10" t="inlineStr">
        <is>
          <t>чт</t>
        </is>
      </c>
      <c r="AC7" s="10" t="inlineStr">
        <is>
          <t>пт</t>
        </is>
      </c>
      <c r="AD7" s="11" t="inlineStr">
        <is>
          <t>сб</t>
        </is>
      </c>
      <c r="AE7" s="11" t="inlineStr">
        <is>
          <t>вс</t>
        </is>
      </c>
      <c r="AF7" s="10" t="inlineStr">
        <is>
          <t>пн</t>
        </is>
      </c>
      <c r="AG7" s="10" t="inlineStr">
        <is>
          <t>вт</t>
        </is>
      </c>
      <c r="AH7" s="10" t="inlineStr">
        <is>
          <t>ср</t>
        </is>
      </c>
      <c r="AI7" s="9" t="n"/>
    </row>
    <row r="8">
      <c r="A8" s="14" t="n">
        <v>1</v>
      </c>
      <c r="B8" s="15" t="inlineStr">
        <is>
          <t>Перевозка ЩПС 0/63 с к. Лапчан</t>
        </is>
      </c>
      <c r="C8" s="16" t="inlineStr">
        <is>
          <t>Перевозка материалов (т)</t>
        </is>
      </c>
      <c r="D8" s="14" t="inlineStr">
        <is>
          <t>т</t>
        </is>
      </c>
      <c r="E8" s="17" t="n"/>
      <c r="F8" s="17" t="n"/>
      <c r="G8" s="17" t="n"/>
      <c r="H8" s="17" t="n"/>
      <c r="I8" s="18" t="n"/>
      <c r="J8" s="18" t="n"/>
      <c r="K8" s="17" t="n"/>
      <c r="L8" s="17" t="n">
        <v>1198.39</v>
      </c>
      <c r="M8" s="17" t="n">
        <v>1198.39</v>
      </c>
      <c r="N8" s="17" t="n">
        <v>1198.39</v>
      </c>
      <c r="O8" s="17" t="n">
        <v>1198.39</v>
      </c>
      <c r="P8" s="18" t="n">
        <v>1198.39</v>
      </c>
      <c r="Q8" s="18" t="n">
        <v>1198.39</v>
      </c>
      <c r="R8" s="17" t="n">
        <v>1198.39</v>
      </c>
      <c r="S8" s="17" t="n">
        <v>1198.39</v>
      </c>
      <c r="T8" s="17" t="n">
        <v>1198.39</v>
      </c>
      <c r="U8" s="17" t="n">
        <v>1198.39</v>
      </c>
      <c r="V8" s="17" t="n">
        <v>1198.39</v>
      </c>
      <c r="W8" s="18" t="n">
        <v>1198.39</v>
      </c>
      <c r="X8" s="18" t="n">
        <v>1198.39</v>
      </c>
      <c r="Y8" s="17" t="n">
        <v>1198.39</v>
      </c>
      <c r="Z8" s="17" t="n">
        <v>1198.39</v>
      </c>
      <c r="AA8" s="17" t="n">
        <v>1198.39</v>
      </c>
      <c r="AB8" s="17" t="n">
        <v>1198.39</v>
      </c>
      <c r="AC8" s="17" t="n">
        <v>1198.39</v>
      </c>
      <c r="AD8" s="18" t="n">
        <v>1198.39</v>
      </c>
      <c r="AE8" s="18" t="n">
        <v>1198.39</v>
      </c>
      <c r="AF8" s="17" t="n">
        <v>1198.39</v>
      </c>
      <c r="AG8" s="17" t="n">
        <v>1198.39</v>
      </c>
      <c r="AH8" s="17" t="n">
        <v>1198.39</v>
      </c>
      <c r="AI8" s="19">
        <f>SUM(E8:AH8)</f>
        <v/>
      </c>
    </row>
    <row r="9">
      <c r="A9" s="14" t="n">
        <v>2</v>
      </c>
      <c r="B9" s="15" t="inlineStr">
        <is>
          <t>Перевозка асфальтобетонной смеси с АБЗ</t>
        </is>
      </c>
      <c r="C9" s="16" t="inlineStr">
        <is>
          <t>Перевозка материалов (т)</t>
        </is>
      </c>
      <c r="D9" s="14" t="inlineStr">
        <is>
          <t>т</t>
        </is>
      </c>
      <c r="E9" s="17" t="n"/>
      <c r="F9" s="17" t="n"/>
      <c r="G9" s="17" t="n"/>
      <c r="H9" s="17" t="n"/>
      <c r="I9" s="18" t="n"/>
      <c r="J9" s="18" t="n"/>
      <c r="K9" s="17" t="n"/>
      <c r="L9" s="17" t="n">
        <v>570.8099999999999</v>
      </c>
      <c r="M9" s="17" t="n">
        <v>570.8099999999999</v>
      </c>
      <c r="N9" s="17" t="n">
        <v>570.8099999999999</v>
      </c>
      <c r="O9" s="17" t="n">
        <v>570.8099999999999</v>
      </c>
      <c r="P9" s="18" t="n">
        <v>570.8099999999999</v>
      </c>
      <c r="Q9" s="18" t="n">
        <v>570.8099999999999</v>
      </c>
      <c r="R9" s="17" t="n">
        <v>570.8099999999999</v>
      </c>
      <c r="S9" s="17" t="n">
        <v>570.8099999999999</v>
      </c>
      <c r="T9" s="17" t="n">
        <v>570.8099999999999</v>
      </c>
      <c r="U9" s="17" t="n">
        <v>570.8099999999999</v>
      </c>
      <c r="V9" s="17" t="n">
        <v>570.8099999999999</v>
      </c>
      <c r="W9" s="18" t="n">
        <v>570.8099999999999</v>
      </c>
      <c r="X9" s="18" t="n">
        <v>570.8099999999999</v>
      </c>
      <c r="Y9" s="17" t="n">
        <v>570.8099999999999</v>
      </c>
      <c r="Z9" s="17" t="n">
        <v>570.8099999999999</v>
      </c>
      <c r="AA9" s="17" t="n">
        <v>570.8099999999999</v>
      </c>
      <c r="AB9" s="17" t="n">
        <v>570.8099999999999</v>
      </c>
      <c r="AC9" s="17" t="n">
        <v>570.8099999999999</v>
      </c>
      <c r="AD9" s="18" t="n">
        <v>570.8099999999999</v>
      </c>
      <c r="AE9" s="18" t="n">
        <v>570.8099999999999</v>
      </c>
      <c r="AF9" s="17" t="n">
        <v>570.8099999999999</v>
      </c>
      <c r="AG9" s="17" t="n">
        <v>570.8099999999999</v>
      </c>
      <c r="AH9" s="17" t="n">
        <v>570.8099999999999</v>
      </c>
      <c r="AI9" s="19">
        <f>SUM(E9:AH9)</f>
        <v/>
      </c>
    </row>
    <row r="10">
      <c r="A10" s="14" t="n">
        <v>3</v>
      </c>
      <c r="B10" s="15" t="inlineStr">
        <is>
          <t>Перевозка щебня с к. Лапчан</t>
        </is>
      </c>
      <c r="C10" s="16" t="inlineStr">
        <is>
          <t>Перевозка материалов (т)</t>
        </is>
      </c>
      <c r="D10" s="14" t="inlineStr">
        <is>
          <t>т</t>
        </is>
      </c>
      <c r="E10" s="17" t="n"/>
      <c r="F10" s="17" t="n"/>
      <c r="G10" s="17" t="n"/>
      <c r="H10" s="17" t="n"/>
      <c r="I10" s="18" t="n"/>
      <c r="J10" s="18" t="n"/>
      <c r="K10" s="17" t="n"/>
      <c r="L10" s="17" t="n">
        <v>240.87</v>
      </c>
      <c r="M10" s="17" t="n">
        <v>240.87</v>
      </c>
      <c r="N10" s="17" t="n">
        <v>240.87</v>
      </c>
      <c r="O10" s="17" t="n">
        <v>240.87</v>
      </c>
      <c r="P10" s="18" t="n">
        <v>240.87</v>
      </c>
      <c r="Q10" s="18" t="n">
        <v>240.87</v>
      </c>
      <c r="R10" s="17" t="n">
        <v>240.87</v>
      </c>
      <c r="S10" s="17" t="n">
        <v>240.87</v>
      </c>
      <c r="T10" s="17" t="n">
        <v>240.87</v>
      </c>
      <c r="U10" s="17" t="n">
        <v>240.87</v>
      </c>
      <c r="V10" s="17" t="n">
        <v>240.87</v>
      </c>
      <c r="W10" s="18" t="n">
        <v>240.87</v>
      </c>
      <c r="X10" s="18" t="n">
        <v>240.87</v>
      </c>
      <c r="Y10" s="17" t="n">
        <v>240.87</v>
      </c>
      <c r="Z10" s="17" t="n">
        <v>240.87</v>
      </c>
      <c r="AA10" s="17" t="n">
        <v>240.87</v>
      </c>
      <c r="AB10" s="17" t="n">
        <v>240.87</v>
      </c>
      <c r="AC10" s="17" t="n">
        <v>240.87</v>
      </c>
      <c r="AD10" s="18" t="n">
        <v>240.87</v>
      </c>
      <c r="AE10" s="18" t="n">
        <v>240.87</v>
      </c>
      <c r="AF10" s="17" t="n">
        <v>240.87</v>
      </c>
      <c r="AG10" s="17" t="n">
        <v>240.87</v>
      </c>
      <c r="AH10" s="17" t="n">
        <v>240.87</v>
      </c>
      <c r="AI10" s="19">
        <f>SUM(E10:AH10)</f>
        <v/>
      </c>
    </row>
    <row r="11">
      <c r="A11" s="14" t="n">
        <v>4</v>
      </c>
      <c r="B11" s="15" t="inlineStr">
        <is>
          <t>Перевозка щебня с п. Светлый</t>
        </is>
      </c>
      <c r="C11" s="16" t="inlineStr">
        <is>
          <t>Перевозка материалов (т)</t>
        </is>
      </c>
      <c r="D11" s="14" t="inlineStr">
        <is>
          <t>т</t>
        </is>
      </c>
      <c r="E11" s="17" t="n"/>
      <c r="F11" s="17" t="n"/>
      <c r="G11" s="17" t="n"/>
      <c r="H11" s="17" t="n"/>
      <c r="I11" s="18" t="n"/>
      <c r="J11" s="18" t="n"/>
      <c r="K11" s="17" t="n"/>
      <c r="L11" s="17" t="n">
        <v>517.74</v>
      </c>
      <c r="M11" s="17" t="n">
        <v>517.74</v>
      </c>
      <c r="N11" s="17" t="n">
        <v>517.74</v>
      </c>
      <c r="O11" s="17" t="n">
        <v>517.74</v>
      </c>
      <c r="P11" s="18" t="n">
        <v>517.74</v>
      </c>
      <c r="Q11" s="18" t="n">
        <v>517.74</v>
      </c>
      <c r="R11" s="17" t="n">
        <v>517.74</v>
      </c>
      <c r="S11" s="17" t="n">
        <v>517.74</v>
      </c>
      <c r="T11" s="17" t="n">
        <v>517.74</v>
      </c>
      <c r="U11" s="17" t="n">
        <v>517.74</v>
      </c>
      <c r="V11" s="17" t="n">
        <v>517.74</v>
      </c>
      <c r="W11" s="18" t="n">
        <v>517.74</v>
      </c>
      <c r="X11" s="18" t="n">
        <v>517.74</v>
      </c>
      <c r="Y11" s="17" t="n">
        <v>517.74</v>
      </c>
      <c r="Z11" s="17" t="n">
        <v>517.74</v>
      </c>
      <c r="AA11" s="17" t="n">
        <v>517.74</v>
      </c>
      <c r="AB11" s="17" t="n">
        <v>517.74</v>
      </c>
      <c r="AC11" s="17" t="n">
        <v>517.74</v>
      </c>
      <c r="AD11" s="18" t="n">
        <v>517.74</v>
      </c>
      <c r="AE11" s="18" t="n">
        <v>517.74</v>
      </c>
      <c r="AF11" s="17" t="n">
        <v>517.74</v>
      </c>
      <c r="AG11" s="17" t="n">
        <v>517.74</v>
      </c>
      <c r="AH11" s="17" t="n">
        <v>517.74</v>
      </c>
      <c r="AI11" s="19">
        <f>SUM(E11:AH11)</f>
        <v/>
      </c>
    </row>
    <row r="12">
      <c r="A12" s="14" t="n">
        <v>5</v>
      </c>
      <c r="B12" s="15" t="inlineStr">
        <is>
          <t>Автосамосвалы на линии (собств. и привлечённые)</t>
        </is>
      </c>
      <c r="C12" s="16" t="inlineStr">
        <is>
          <t>Не учитывать</t>
        </is>
      </c>
      <c r="D12" s="14" t="inlineStr">
        <is>
          <t>ед.</t>
        </is>
      </c>
      <c r="E12" s="17" t="n"/>
      <c r="F12" s="17" t="n"/>
      <c r="G12" s="17" t="n"/>
      <c r="H12" s="17" t="n"/>
      <c r="I12" s="18" t="n"/>
      <c r="J12" s="18" t="n"/>
      <c r="K12" s="17" t="n"/>
      <c r="L12" s="17" t="n">
        <v>50</v>
      </c>
      <c r="M12" s="17" t="n">
        <v>50</v>
      </c>
      <c r="N12" s="17" t="n">
        <v>50</v>
      </c>
      <c r="O12" s="17" t="n">
        <v>50</v>
      </c>
      <c r="P12" s="18" t="n">
        <v>50</v>
      </c>
      <c r="Q12" s="18" t="n">
        <v>50</v>
      </c>
      <c r="R12" s="17" t="n">
        <v>50</v>
      </c>
      <c r="S12" s="17" t="n">
        <v>50</v>
      </c>
      <c r="T12" s="17" t="n">
        <v>50</v>
      </c>
      <c r="U12" s="17" t="n">
        <v>50</v>
      </c>
      <c r="V12" s="17" t="n">
        <v>50</v>
      </c>
      <c r="W12" s="18" t="n">
        <v>50</v>
      </c>
      <c r="X12" s="18" t="n">
        <v>50</v>
      </c>
      <c r="Y12" s="17" t="n">
        <v>50</v>
      </c>
      <c r="Z12" s="17" t="n">
        <v>50</v>
      </c>
      <c r="AA12" s="17" t="n">
        <v>50</v>
      </c>
      <c r="AB12" s="17" t="n">
        <v>50</v>
      </c>
      <c r="AC12" s="17" t="n">
        <v>50</v>
      </c>
      <c r="AD12" s="18" t="n">
        <v>50</v>
      </c>
      <c r="AE12" s="18" t="n">
        <v>50</v>
      </c>
      <c r="AF12" s="17" t="n">
        <v>50</v>
      </c>
      <c r="AG12" s="17" t="n">
        <v>50</v>
      </c>
      <c r="AH12" s="17" t="n">
        <v>50</v>
      </c>
      <c r="AI12" s="19">
        <f>SUM(E12:AH12)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20">
        <f>SUM(E13:AH13)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20">
        <f>SUM(E14:AH14)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20">
        <f>SUM(E15:AH15)</f>
        <v/>
      </c>
    </row>
  </sheetData>
  <dataValidations count="1">
    <dataValidation sqref="C8 C9 C10 C11 C12 C13 C14 C15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12" customWidth="1" min="35" max="35"/>
  </cols>
  <sheetData>
    <row r="1">
      <c r="A1" s="6" t="inlineStr">
        <is>
          <t>План работ на сентябрь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Сменные работы км 1180–1190 (накопительная сводка)</t>
        </is>
      </c>
    </row>
    <row r="4">
      <c r="A4" s="7" t="inlineStr">
        <is>
          <t>Ответственный: Николаев П. С.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вт</t>
        </is>
      </c>
      <c r="F7" s="10" t="inlineStr">
        <is>
          <t>ср</t>
        </is>
      </c>
      <c r="G7" s="10" t="inlineStr">
        <is>
          <t>чт</t>
        </is>
      </c>
      <c r="H7" s="10" t="inlineStr">
        <is>
          <t>пт</t>
        </is>
      </c>
      <c r="I7" s="11" t="inlineStr">
        <is>
          <t>сб</t>
        </is>
      </c>
      <c r="J7" s="11" t="inlineStr">
        <is>
          <t>вс</t>
        </is>
      </c>
      <c r="K7" s="10" t="inlineStr">
        <is>
          <t>пн</t>
        </is>
      </c>
      <c r="L7" s="10" t="inlineStr">
        <is>
          <t>вт</t>
        </is>
      </c>
      <c r="M7" s="10" t="inlineStr">
        <is>
          <t>ср</t>
        </is>
      </c>
      <c r="N7" s="10" t="inlineStr">
        <is>
          <t>чт</t>
        </is>
      </c>
      <c r="O7" s="10" t="inlineStr">
        <is>
          <t>пт</t>
        </is>
      </c>
      <c r="P7" s="11" t="inlineStr">
        <is>
          <t>сб</t>
        </is>
      </c>
      <c r="Q7" s="11" t="inlineStr">
        <is>
          <t>вс</t>
        </is>
      </c>
      <c r="R7" s="10" t="inlineStr">
        <is>
          <t>пн</t>
        </is>
      </c>
      <c r="S7" s="10" t="inlineStr">
        <is>
          <t>вт</t>
        </is>
      </c>
      <c r="T7" s="10" t="inlineStr">
        <is>
          <t>ср</t>
        </is>
      </c>
      <c r="U7" s="10" t="inlineStr">
        <is>
          <t>чт</t>
        </is>
      </c>
      <c r="V7" s="10" t="inlineStr">
        <is>
          <t>пт</t>
        </is>
      </c>
      <c r="W7" s="11" t="inlineStr">
        <is>
          <t>сб</t>
        </is>
      </c>
      <c r="X7" s="11" t="inlineStr">
        <is>
          <t>вс</t>
        </is>
      </c>
      <c r="Y7" s="10" t="inlineStr">
        <is>
          <t>пн</t>
        </is>
      </c>
      <c r="Z7" s="10" t="inlineStr">
        <is>
          <t>вт</t>
        </is>
      </c>
      <c r="AA7" s="10" t="inlineStr">
        <is>
          <t>ср</t>
        </is>
      </c>
      <c r="AB7" s="10" t="inlineStr">
        <is>
          <t>чт</t>
        </is>
      </c>
      <c r="AC7" s="10" t="inlineStr">
        <is>
          <t>пт</t>
        </is>
      </c>
      <c r="AD7" s="11" t="inlineStr">
        <is>
          <t>сб</t>
        </is>
      </c>
      <c r="AE7" s="11" t="inlineStr">
        <is>
          <t>вс</t>
        </is>
      </c>
      <c r="AF7" s="10" t="inlineStr">
        <is>
          <t>пн</t>
        </is>
      </c>
      <c r="AG7" s="10" t="inlineStr">
        <is>
          <t>вт</t>
        </is>
      </c>
      <c r="AH7" s="10" t="inlineStr">
        <is>
          <t>ср</t>
        </is>
      </c>
      <c r="AI7" s="9" t="n"/>
    </row>
    <row r="8">
      <c r="A8" s="14" t="n">
        <v>1</v>
      </c>
      <c r="B8" s="15" t="inlineStr">
        <is>
          <t>Вывоз непригодного грунта в отвал</t>
        </is>
      </c>
      <c r="C8" s="16" t="inlineStr">
        <is>
          <t>Перевозка материалов (м³)</t>
        </is>
      </c>
      <c r="D8" s="14" t="inlineStr">
        <is>
          <t>м³</t>
        </is>
      </c>
      <c r="E8" s="17" t="n">
        <v>240</v>
      </c>
      <c r="F8" s="17" t="n">
        <v>240</v>
      </c>
      <c r="G8" s="17" t="n">
        <v>240</v>
      </c>
      <c r="H8" s="17" t="n">
        <v>240</v>
      </c>
      <c r="I8" s="18" t="n">
        <v>240</v>
      </c>
      <c r="J8" s="18" t="n">
        <v>240</v>
      </c>
      <c r="K8" s="17" t="n">
        <v>240</v>
      </c>
      <c r="L8" s="17" t="n">
        <v>240</v>
      </c>
      <c r="M8" s="17" t="n">
        <v>240</v>
      </c>
      <c r="N8" s="17" t="n">
        <v>240</v>
      </c>
      <c r="O8" s="17" t="n">
        <v>240</v>
      </c>
      <c r="P8" s="18" t="n">
        <v>240</v>
      </c>
      <c r="Q8" s="18" t="n">
        <v>240</v>
      </c>
      <c r="R8" s="17" t="n">
        <v>240</v>
      </c>
      <c r="S8" s="17" t="n">
        <v>240</v>
      </c>
      <c r="T8" s="17" t="n">
        <v>240</v>
      </c>
      <c r="U8" s="17" t="n">
        <v>240</v>
      </c>
      <c r="V8" s="17" t="n">
        <v>240</v>
      </c>
      <c r="W8" s="18" t="n">
        <v>240</v>
      </c>
      <c r="X8" s="18" t="n">
        <v>240</v>
      </c>
      <c r="Y8" s="17" t="n">
        <v>240</v>
      </c>
      <c r="Z8" s="17" t="n">
        <v>240</v>
      </c>
      <c r="AA8" s="17" t="n">
        <v>240</v>
      </c>
      <c r="AB8" s="17" t="n">
        <v>240</v>
      </c>
      <c r="AC8" s="17" t="n">
        <v>240</v>
      </c>
      <c r="AD8" s="18" t="n">
        <v>240</v>
      </c>
      <c r="AE8" s="18" t="n">
        <v>240</v>
      </c>
      <c r="AF8" s="17" t="n">
        <v>240</v>
      </c>
      <c r="AG8" s="17" t="n">
        <v>240</v>
      </c>
      <c r="AH8" s="17" t="n">
        <v>240</v>
      </c>
      <c r="AI8" s="19">
        <f>SUM(E8:AH8)</f>
        <v/>
      </c>
    </row>
    <row r="9">
      <c r="A9" s="14" t="n">
        <v>2</v>
      </c>
      <c r="B9" s="15" t="inlineStr">
        <is>
          <t>Устройство слоя основания из ЩПС 0/63</t>
        </is>
      </c>
      <c r="C9" s="16" t="inlineStr">
        <is>
          <t>Строительство</t>
        </is>
      </c>
      <c r="D9" s="14" t="inlineStr">
        <is>
          <t>м³</t>
        </is>
      </c>
      <c r="E9" s="17" t="n">
        <v>140</v>
      </c>
      <c r="F9" s="17" t="n">
        <v>140</v>
      </c>
      <c r="G9" s="17" t="n">
        <v>140</v>
      </c>
      <c r="H9" s="17" t="n">
        <v>140</v>
      </c>
      <c r="I9" s="18" t="n">
        <v>140</v>
      </c>
      <c r="J9" s="18" t="n">
        <v>140</v>
      </c>
      <c r="K9" s="17" t="n">
        <v>140</v>
      </c>
      <c r="L9" s="17" t="n">
        <v>140</v>
      </c>
      <c r="M9" s="17" t="n">
        <v>140</v>
      </c>
      <c r="N9" s="17" t="n">
        <v>140</v>
      </c>
      <c r="O9" s="17" t="n">
        <v>140</v>
      </c>
      <c r="P9" s="18" t="n">
        <v>140</v>
      </c>
      <c r="Q9" s="18" t="n">
        <v>140</v>
      </c>
      <c r="R9" s="17" t="n">
        <v>140</v>
      </c>
      <c r="S9" s="17" t="n">
        <v>140</v>
      </c>
      <c r="T9" s="17" t="n">
        <v>140</v>
      </c>
      <c r="U9" s="17" t="n">
        <v>140</v>
      </c>
      <c r="V9" s="17" t="n">
        <v>140</v>
      </c>
      <c r="W9" s="18" t="n">
        <v>140</v>
      </c>
      <c r="X9" s="18" t="n">
        <v>140</v>
      </c>
      <c r="Y9" s="17" t="n">
        <v>140</v>
      </c>
      <c r="Z9" s="17" t="n">
        <v>140</v>
      </c>
      <c r="AA9" s="17" t="n">
        <v>140</v>
      </c>
      <c r="AB9" s="17" t="n">
        <v>140</v>
      </c>
      <c r="AC9" s="17" t="n">
        <v>140</v>
      </c>
      <c r="AD9" s="18" t="n">
        <v>140</v>
      </c>
      <c r="AE9" s="18" t="n">
        <v>140</v>
      </c>
      <c r="AF9" s="17" t="n">
        <v>140</v>
      </c>
      <c r="AG9" s="17" t="n">
        <v>140</v>
      </c>
      <c r="AH9" s="17" t="n">
        <v>140</v>
      </c>
      <c r="AI9" s="19">
        <f>SUM(E9:AH9)</f>
        <v/>
      </c>
    </row>
    <row r="10">
      <c r="A10" s="14" t="n">
        <v>3</v>
      </c>
      <c r="B10" s="15" t="inlineStr">
        <is>
          <t>Устройство нижнего слоя покрытия А32НН</t>
        </is>
      </c>
      <c r="C10" s="16" t="inlineStr">
        <is>
          <t>Асфальтобетон (т)</t>
        </is>
      </c>
      <c r="D10" s="14" t="inlineStr">
        <is>
          <t>т</t>
        </is>
      </c>
      <c r="E10" s="17" t="n">
        <v>220</v>
      </c>
      <c r="F10" s="17" t="n">
        <v>220</v>
      </c>
      <c r="G10" s="17" t="n">
        <v>220</v>
      </c>
      <c r="H10" s="17" t="n">
        <v>220</v>
      </c>
      <c r="I10" s="18" t="n">
        <v>220</v>
      </c>
      <c r="J10" s="18" t="n">
        <v>220</v>
      </c>
      <c r="K10" s="17" t="n">
        <v>220</v>
      </c>
      <c r="L10" s="17" t="n">
        <v>220</v>
      </c>
      <c r="M10" s="17" t="n">
        <v>220</v>
      </c>
      <c r="N10" s="17" t="n">
        <v>220</v>
      </c>
      <c r="O10" s="17" t="n">
        <v>220</v>
      </c>
      <c r="P10" s="18" t="n">
        <v>220</v>
      </c>
      <c r="Q10" s="18" t="n">
        <v>220</v>
      </c>
      <c r="R10" s="17" t="n">
        <v>220</v>
      </c>
      <c r="S10" s="17" t="n">
        <v>220</v>
      </c>
      <c r="T10" s="17" t="n">
        <v>220</v>
      </c>
      <c r="U10" s="17" t="n">
        <v>220</v>
      </c>
      <c r="V10" s="17" t="n">
        <v>220</v>
      </c>
      <c r="W10" s="18" t="n">
        <v>220</v>
      </c>
      <c r="X10" s="18" t="n">
        <v>220</v>
      </c>
      <c r="Y10" s="17" t="n">
        <v>220</v>
      </c>
      <c r="Z10" s="17" t="n">
        <v>220</v>
      </c>
      <c r="AA10" s="17" t="n">
        <v>220</v>
      </c>
      <c r="AB10" s="17" t="n">
        <v>220</v>
      </c>
      <c r="AC10" s="17" t="n">
        <v>220</v>
      </c>
      <c r="AD10" s="18" t="n">
        <v>220</v>
      </c>
      <c r="AE10" s="18" t="n">
        <v>220</v>
      </c>
      <c r="AF10" s="17" t="n">
        <v>220</v>
      </c>
      <c r="AG10" s="17" t="n">
        <v>220</v>
      </c>
      <c r="AH10" s="17" t="n">
        <v>220</v>
      </c>
      <c r="AI10" s="19">
        <f>SUM(E10:AH10)</f>
        <v/>
      </c>
    </row>
    <row r="11">
      <c r="A11" s="14" t="n">
        <v>4</v>
      </c>
      <c r="B11" s="15" t="inlineStr">
        <is>
          <t>Устройство нижнего слоя покрытия А16ВН</t>
        </is>
      </c>
      <c r="C11" s="16" t="inlineStr">
        <is>
          <t>Асфальтобетон (т)</t>
        </is>
      </c>
      <c r="D11" s="14" t="inlineStr">
        <is>
          <t>т</t>
        </is>
      </c>
      <c r="E11" s="17" t="n">
        <v>390</v>
      </c>
      <c r="F11" s="17" t="n">
        <v>390</v>
      </c>
      <c r="G11" s="17" t="n">
        <v>390</v>
      </c>
      <c r="H11" s="17" t="n">
        <v>390</v>
      </c>
      <c r="I11" s="18" t="n">
        <v>390</v>
      </c>
      <c r="J11" s="18" t="n">
        <v>390</v>
      </c>
      <c r="K11" s="17" t="n">
        <v>390</v>
      </c>
      <c r="L11" s="17" t="n">
        <v>390</v>
      </c>
      <c r="M11" s="17" t="n">
        <v>390</v>
      </c>
      <c r="N11" s="17" t="n">
        <v>390</v>
      </c>
      <c r="O11" s="17" t="n">
        <v>390</v>
      </c>
      <c r="P11" s="18" t="n">
        <v>390</v>
      </c>
      <c r="Q11" s="18" t="n">
        <v>390</v>
      </c>
      <c r="R11" s="17" t="n">
        <v>390</v>
      </c>
      <c r="S11" s="17" t="n">
        <v>390</v>
      </c>
      <c r="T11" s="17" t="n">
        <v>390</v>
      </c>
      <c r="U11" s="17" t="n">
        <v>390</v>
      </c>
      <c r="V11" s="17" t="n">
        <v>390</v>
      </c>
      <c r="W11" s="18" t="n">
        <v>390</v>
      </c>
      <c r="X11" s="18" t="n">
        <v>390</v>
      </c>
      <c r="Y11" s="17" t="n">
        <v>390</v>
      </c>
      <c r="Z11" s="17" t="n">
        <v>390</v>
      </c>
      <c r="AA11" s="17" t="n">
        <v>390</v>
      </c>
      <c r="AB11" s="17" t="n">
        <v>390</v>
      </c>
      <c r="AC11" s="17" t="n">
        <v>390</v>
      </c>
      <c r="AD11" s="18" t="n">
        <v>390</v>
      </c>
      <c r="AE11" s="18" t="n">
        <v>390</v>
      </c>
      <c r="AF11" s="17" t="n">
        <v>390</v>
      </c>
      <c r="AG11" s="17" t="n">
        <v>390</v>
      </c>
      <c r="AH11" s="17" t="n">
        <v>390</v>
      </c>
      <c r="AI11" s="19">
        <f>SUM(E11:AH11)</f>
        <v/>
      </c>
    </row>
    <row r="12">
      <c r="A12" s="14" t="n">
        <v>5</v>
      </c>
      <c r="B12" s="15" t="inlineStr">
        <is>
          <t>Вывоз ЩПС 0/63 с к. Лапчан на накопитель км 1182</t>
        </is>
      </c>
      <c r="C12" s="16" t="inlineStr">
        <is>
          <t>Перевозка материалов (м³)</t>
        </is>
      </c>
      <c r="D12" s="14" t="inlineStr">
        <is>
          <t>м³</t>
        </is>
      </c>
      <c r="E12" s="17" t="n">
        <v>12</v>
      </c>
      <c r="F12" s="17" t="n">
        <v>12</v>
      </c>
      <c r="G12" s="17" t="n">
        <v>12</v>
      </c>
      <c r="H12" s="17" t="n">
        <v>12</v>
      </c>
      <c r="I12" s="18" t="n">
        <v>12</v>
      </c>
      <c r="J12" s="18" t="n">
        <v>12</v>
      </c>
      <c r="K12" s="17" t="n">
        <v>12</v>
      </c>
      <c r="L12" s="17" t="n">
        <v>12</v>
      </c>
      <c r="M12" s="17" t="n">
        <v>12</v>
      </c>
      <c r="N12" s="17" t="n">
        <v>12</v>
      </c>
      <c r="O12" s="17" t="n">
        <v>12</v>
      </c>
      <c r="P12" s="18" t="n">
        <v>12</v>
      </c>
      <c r="Q12" s="18" t="n">
        <v>12</v>
      </c>
      <c r="R12" s="17" t="n">
        <v>12</v>
      </c>
      <c r="S12" s="17" t="n">
        <v>12</v>
      </c>
      <c r="T12" s="17" t="n">
        <v>12</v>
      </c>
      <c r="U12" s="17" t="n">
        <v>12</v>
      </c>
      <c r="V12" s="17" t="n">
        <v>12</v>
      </c>
      <c r="W12" s="18" t="n">
        <v>12</v>
      </c>
      <c r="X12" s="18" t="n">
        <v>12</v>
      </c>
      <c r="Y12" s="17" t="n">
        <v>12</v>
      </c>
      <c r="Z12" s="17" t="n">
        <v>12</v>
      </c>
      <c r="AA12" s="17" t="n">
        <v>12</v>
      </c>
      <c r="AB12" s="17" t="n">
        <v>12</v>
      </c>
      <c r="AC12" s="17" t="n">
        <v>12</v>
      </c>
      <c r="AD12" s="18" t="n">
        <v>12</v>
      </c>
      <c r="AE12" s="18" t="n">
        <v>12</v>
      </c>
      <c r="AF12" s="17" t="n">
        <v>12</v>
      </c>
      <c r="AG12" s="17" t="n">
        <v>12</v>
      </c>
      <c r="AH12" s="17" t="n">
        <v>12</v>
      </c>
      <c r="AI12" s="19">
        <f>SUM(E12:AH12)</f>
        <v/>
      </c>
    </row>
    <row r="13">
      <c r="A13" s="14" t="n">
        <v>6</v>
      </c>
      <c r="B13" s="15" t="inlineStr">
        <is>
          <t>Вывоз с карьера «км 179» на дорогу ООО «Айхал-Центр»</t>
        </is>
      </c>
      <c r="C13" s="16" t="inlineStr">
        <is>
          <t>Перевозка материалов (м³)</t>
        </is>
      </c>
      <c r="D13" s="14" t="inlineStr">
        <is>
          <t>м³</t>
        </is>
      </c>
      <c r="E13" s="17" t="n">
        <v>125</v>
      </c>
      <c r="F13" s="17" t="n">
        <v>125</v>
      </c>
      <c r="G13" s="17" t="n">
        <v>125</v>
      </c>
      <c r="H13" s="17" t="n">
        <v>125</v>
      </c>
      <c r="I13" s="18" t="n">
        <v>125</v>
      </c>
      <c r="J13" s="18" t="n">
        <v>125</v>
      </c>
      <c r="K13" s="17" t="n">
        <v>125</v>
      </c>
      <c r="L13" s="17" t="n">
        <v>125</v>
      </c>
      <c r="M13" s="17" t="n">
        <v>125</v>
      </c>
      <c r="N13" s="17" t="n">
        <v>125</v>
      </c>
      <c r="O13" s="17" t="n">
        <v>125</v>
      </c>
      <c r="P13" s="18" t="n">
        <v>125</v>
      </c>
      <c r="Q13" s="18" t="n">
        <v>125</v>
      </c>
      <c r="R13" s="17" t="n">
        <v>125</v>
      </c>
      <c r="S13" s="17" t="n">
        <v>125</v>
      </c>
      <c r="T13" s="17" t="n">
        <v>125</v>
      </c>
      <c r="U13" s="17" t="n">
        <v>125</v>
      </c>
      <c r="V13" s="17" t="n">
        <v>125</v>
      </c>
      <c r="W13" s="18" t="n">
        <v>125</v>
      </c>
      <c r="X13" s="18" t="n">
        <v>125</v>
      </c>
      <c r="Y13" s="17" t="n">
        <v>125</v>
      </c>
      <c r="Z13" s="17" t="n">
        <v>125</v>
      </c>
      <c r="AA13" s="17" t="n">
        <v>125</v>
      </c>
      <c r="AB13" s="17" t="n">
        <v>125</v>
      </c>
      <c r="AC13" s="17" t="n">
        <v>125</v>
      </c>
      <c r="AD13" s="18" t="n">
        <v>125</v>
      </c>
      <c r="AE13" s="18" t="n">
        <v>125</v>
      </c>
      <c r="AF13" s="17" t="n">
        <v>125</v>
      </c>
      <c r="AG13" s="17" t="n">
        <v>125</v>
      </c>
      <c r="AH13" s="17" t="n">
        <v>125</v>
      </c>
      <c r="AI13" s="19">
        <f>SUM(E13:AH13)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20">
        <f>SUM(E14:AH14)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20">
        <f>SUM(E15:AH15)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20">
        <f>SUM(E16:AH16)</f>
        <v/>
      </c>
    </row>
  </sheetData>
  <dataValidations count="1">
    <dataValidation sqref="C8 C9 C10 C11 C12 C13 C14 C15 C16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2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12" customWidth="1" min="35" max="35"/>
  </cols>
  <sheetData>
    <row r="1">
      <c r="A1" s="6" t="inlineStr">
        <is>
          <t>План работ на сентябрь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Автотранспорт (рейсы по машинам)</t>
        </is>
      </c>
    </row>
    <row r="4">
      <c r="A4" s="7" t="inlineStr">
        <is>
          <t>Ответственный: Егорова М. И.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вт</t>
        </is>
      </c>
      <c r="F7" s="10" t="inlineStr">
        <is>
          <t>ср</t>
        </is>
      </c>
      <c r="G7" s="10" t="inlineStr">
        <is>
          <t>чт</t>
        </is>
      </c>
      <c r="H7" s="10" t="inlineStr">
        <is>
          <t>пт</t>
        </is>
      </c>
      <c r="I7" s="11" t="inlineStr">
        <is>
          <t>сб</t>
        </is>
      </c>
      <c r="J7" s="11" t="inlineStr">
        <is>
          <t>вс</t>
        </is>
      </c>
      <c r="K7" s="10" t="inlineStr">
        <is>
          <t>пн</t>
        </is>
      </c>
      <c r="L7" s="10" t="inlineStr">
        <is>
          <t>вт</t>
        </is>
      </c>
      <c r="M7" s="10" t="inlineStr">
        <is>
          <t>ср</t>
        </is>
      </c>
      <c r="N7" s="10" t="inlineStr">
        <is>
          <t>чт</t>
        </is>
      </c>
      <c r="O7" s="10" t="inlineStr">
        <is>
          <t>пт</t>
        </is>
      </c>
      <c r="P7" s="11" t="inlineStr">
        <is>
          <t>сб</t>
        </is>
      </c>
      <c r="Q7" s="11" t="inlineStr">
        <is>
          <t>вс</t>
        </is>
      </c>
      <c r="R7" s="10" t="inlineStr">
        <is>
          <t>пн</t>
        </is>
      </c>
      <c r="S7" s="10" t="inlineStr">
        <is>
          <t>вт</t>
        </is>
      </c>
      <c r="T7" s="10" t="inlineStr">
        <is>
          <t>ср</t>
        </is>
      </c>
      <c r="U7" s="10" t="inlineStr">
        <is>
          <t>чт</t>
        </is>
      </c>
      <c r="V7" s="10" t="inlineStr">
        <is>
          <t>пт</t>
        </is>
      </c>
      <c r="W7" s="11" t="inlineStr">
        <is>
          <t>сб</t>
        </is>
      </c>
      <c r="X7" s="11" t="inlineStr">
        <is>
          <t>вс</t>
        </is>
      </c>
      <c r="Y7" s="10" t="inlineStr">
        <is>
          <t>пн</t>
        </is>
      </c>
      <c r="Z7" s="10" t="inlineStr">
        <is>
          <t>вт</t>
        </is>
      </c>
      <c r="AA7" s="10" t="inlineStr">
        <is>
          <t>ср</t>
        </is>
      </c>
      <c r="AB7" s="10" t="inlineStr">
        <is>
          <t>чт</t>
        </is>
      </c>
      <c r="AC7" s="10" t="inlineStr">
        <is>
          <t>пт</t>
        </is>
      </c>
      <c r="AD7" s="11" t="inlineStr">
        <is>
          <t>сб</t>
        </is>
      </c>
      <c r="AE7" s="11" t="inlineStr">
        <is>
          <t>вс</t>
        </is>
      </c>
      <c r="AF7" s="10" t="inlineStr">
        <is>
          <t>пн</t>
        </is>
      </c>
      <c r="AG7" s="10" t="inlineStr">
        <is>
          <t>вт</t>
        </is>
      </c>
      <c r="AH7" s="10" t="inlineStr">
        <is>
          <t>ср</t>
        </is>
      </c>
      <c r="AI7" s="9" t="n"/>
    </row>
    <row r="8">
      <c r="A8" s="14" t="n">
        <v>1</v>
      </c>
      <c r="B8" s="15" t="inlineStr">
        <is>
          <t>Перевозка ЩПС 0/16 с АБЗ до накопителя км 1182</t>
        </is>
      </c>
      <c r="C8" s="16" t="inlineStr">
        <is>
          <t>Перевозка материалов (м³)</t>
        </is>
      </c>
      <c r="D8" s="14" t="inlineStr">
        <is>
          <t>м³</t>
        </is>
      </c>
      <c r="E8" s="17" t="n"/>
      <c r="F8" s="17" t="n"/>
      <c r="G8" s="17" t="n"/>
      <c r="H8" s="17" t="n"/>
      <c r="I8" s="18" t="n"/>
      <c r="J8" s="18" t="n"/>
      <c r="K8" s="17" t="n"/>
      <c r="L8" s="17" t="n"/>
      <c r="M8" s="17" t="n">
        <v>240</v>
      </c>
      <c r="N8" s="17" t="n">
        <v>192</v>
      </c>
      <c r="O8" s="17" t="n"/>
      <c r="P8" s="18" t="n"/>
      <c r="Q8" s="18" t="n"/>
      <c r="R8" s="17" t="n"/>
      <c r="S8" s="17" t="n">
        <v>36</v>
      </c>
      <c r="T8" s="17" t="n">
        <v>72</v>
      </c>
      <c r="U8" s="17" t="n"/>
      <c r="V8" s="17" t="n"/>
      <c r="W8" s="18" t="n"/>
      <c r="X8" s="18" t="n"/>
      <c r="Y8" s="17" t="n">
        <v>84</v>
      </c>
      <c r="Z8" s="17" t="n"/>
      <c r="AA8" s="17" t="n"/>
      <c r="AB8" s="17" t="n"/>
      <c r="AC8" s="17" t="n"/>
      <c r="AD8" s="18" t="n"/>
      <c r="AE8" s="18" t="n"/>
      <c r="AF8" s="17" t="n"/>
      <c r="AG8" s="17" t="n"/>
      <c r="AH8" s="17" t="n"/>
      <c r="AI8" s="19">
        <f>SUM(E8:AH8)</f>
        <v/>
      </c>
    </row>
    <row r="9">
      <c r="A9" s="14" t="n">
        <v>2</v>
      </c>
      <c r="B9" s="15" t="inlineStr">
        <is>
          <t>Перевозка фр. щебня фр. 16-32 с к. Лапчан до АБЗ</t>
        </is>
      </c>
      <c r="C9" s="16" t="inlineStr">
        <is>
          <t>Перевозка материалов (м³)</t>
        </is>
      </c>
      <c r="D9" s="14" t="inlineStr">
        <is>
          <t>м³</t>
        </is>
      </c>
      <c r="E9" s="17" t="n"/>
      <c r="F9" s="17" t="n"/>
      <c r="G9" s="17" t="n"/>
      <c r="H9" s="17" t="n"/>
      <c r="I9" s="18" t="n"/>
      <c r="J9" s="18" t="n"/>
      <c r="K9" s="17" t="n"/>
      <c r="L9" s="17" t="n"/>
      <c r="M9" s="17" t="n">
        <v>504</v>
      </c>
      <c r="N9" s="17" t="n"/>
      <c r="O9" s="17" t="n"/>
      <c r="P9" s="18" t="n"/>
      <c r="Q9" s="18" t="n"/>
      <c r="R9" s="17" t="n"/>
      <c r="S9" s="17" t="n"/>
      <c r="T9" s="17" t="n"/>
      <c r="U9" s="17" t="n"/>
      <c r="V9" s="17" t="n"/>
      <c r="W9" s="18" t="n"/>
      <c r="X9" s="18" t="n"/>
      <c r="Y9" s="17" t="n"/>
      <c r="Z9" s="17" t="n"/>
      <c r="AA9" s="17" t="n"/>
      <c r="AB9" s="17" t="n"/>
      <c r="AC9" s="17" t="n"/>
      <c r="AD9" s="18" t="n"/>
      <c r="AE9" s="18" t="n"/>
      <c r="AF9" s="17" t="n"/>
      <c r="AG9" s="17" t="n"/>
      <c r="AH9" s="17" t="n"/>
      <c r="AI9" s="19">
        <f>SUM(E9:AH9)</f>
        <v/>
      </c>
    </row>
    <row r="10">
      <c r="A10" s="14" t="n">
        <v>3</v>
      </c>
      <c r="B10" s="15" t="inlineStr">
        <is>
          <t>Перевозка фр. щебня фр. 11-16 с п. Светлый до АБЗ</t>
        </is>
      </c>
      <c r="C10" s="16" t="inlineStr">
        <is>
          <t>Перевозка материалов (м³)</t>
        </is>
      </c>
      <c r="D10" s="14" t="inlineStr">
        <is>
          <t>м³</t>
        </is>
      </c>
      <c r="E10" s="17" t="n"/>
      <c r="F10" s="17" t="n"/>
      <c r="G10" s="17" t="n"/>
      <c r="H10" s="17" t="n"/>
      <c r="I10" s="18" t="n"/>
      <c r="J10" s="18" t="n"/>
      <c r="K10" s="17" t="n"/>
      <c r="L10" s="17" t="n"/>
      <c r="M10" s="17" t="n">
        <v>72</v>
      </c>
      <c r="N10" s="17" t="n"/>
      <c r="O10" s="17" t="n"/>
      <c r="P10" s="18" t="n"/>
      <c r="Q10" s="18" t="n"/>
      <c r="R10" s="17" t="n"/>
      <c r="S10" s="17" t="n"/>
      <c r="T10" s="17" t="n"/>
      <c r="U10" s="17" t="n"/>
      <c r="V10" s="17" t="n"/>
      <c r="W10" s="18" t="n"/>
      <c r="X10" s="18" t="n"/>
      <c r="Y10" s="17" t="n"/>
      <c r="Z10" s="17" t="n"/>
      <c r="AA10" s="17" t="n"/>
      <c r="AB10" s="17" t="n"/>
      <c r="AC10" s="17" t="n"/>
      <c r="AD10" s="18" t="n"/>
      <c r="AE10" s="18" t="n"/>
      <c r="AF10" s="17" t="n"/>
      <c r="AG10" s="17" t="n"/>
      <c r="AH10" s="17" t="n"/>
      <c r="AI10" s="19">
        <f>SUM(E10:AH10)</f>
        <v/>
      </c>
    </row>
    <row r="11">
      <c r="A11" s="14" t="n">
        <v>4</v>
      </c>
      <c r="B11" s="15" t="inlineStr">
        <is>
          <t>Перевозка фр. щебня фр. 11-16 с к. Лапчан до АБЗ</t>
        </is>
      </c>
      <c r="C11" s="16" t="inlineStr">
        <is>
          <t>Перевозка материалов (м³)</t>
        </is>
      </c>
      <c r="D11" s="14" t="inlineStr">
        <is>
          <t>м³</t>
        </is>
      </c>
      <c r="E11" s="17" t="n"/>
      <c r="F11" s="17" t="n"/>
      <c r="G11" s="17" t="n"/>
      <c r="H11" s="17" t="n"/>
      <c r="I11" s="18" t="n"/>
      <c r="J11" s="18" t="n"/>
      <c r="K11" s="17" t="n"/>
      <c r="L11" s="17" t="n"/>
      <c r="M11" s="17" t="n"/>
      <c r="N11" s="17" t="n">
        <v>324</v>
      </c>
      <c r="O11" s="17" t="n"/>
      <c r="P11" s="18" t="n"/>
      <c r="Q11" s="18" t="n"/>
      <c r="R11" s="17" t="n"/>
      <c r="S11" s="17" t="n"/>
      <c r="T11" s="17" t="n"/>
      <c r="U11" s="17" t="n"/>
      <c r="V11" s="17" t="n"/>
      <c r="W11" s="18" t="n"/>
      <c r="X11" s="18" t="n"/>
      <c r="Y11" s="17" t="n"/>
      <c r="Z11" s="17" t="n"/>
      <c r="AA11" s="17" t="n"/>
      <c r="AB11" s="17" t="n"/>
      <c r="AC11" s="17" t="n"/>
      <c r="AD11" s="18" t="n"/>
      <c r="AE11" s="18" t="n"/>
      <c r="AF11" s="17" t="n"/>
      <c r="AG11" s="17" t="n"/>
      <c r="AH11" s="17" t="n"/>
      <c r="AI11" s="19">
        <f>SUM(E11:AH11)</f>
        <v/>
      </c>
    </row>
    <row r="12">
      <c r="A12" s="14" t="n">
        <v>5</v>
      </c>
      <c r="B12" s="15" t="inlineStr">
        <is>
          <t>Перевозка ЩПС 0/63 с к. Лапчан до накопителя км 1182</t>
        </is>
      </c>
      <c r="C12" s="16" t="inlineStr">
        <is>
          <t>Перевозка материалов (м³)</t>
        </is>
      </c>
      <c r="D12" s="14" t="inlineStr">
        <is>
          <t>м³</t>
        </is>
      </c>
      <c r="E12" s="17" t="n"/>
      <c r="F12" s="17" t="n"/>
      <c r="G12" s="17" t="n"/>
      <c r="H12" s="17" t="n"/>
      <c r="I12" s="18" t="n"/>
      <c r="J12" s="18" t="n"/>
      <c r="K12" s="17" t="n"/>
      <c r="L12" s="17" t="n"/>
      <c r="M12" s="17" t="n"/>
      <c r="N12" s="17" t="n">
        <v>120</v>
      </c>
      <c r="O12" s="17" t="n"/>
      <c r="P12" s="18" t="n"/>
      <c r="Q12" s="18" t="n"/>
      <c r="R12" s="17" t="n"/>
      <c r="S12" s="17" t="n">
        <v>594</v>
      </c>
      <c r="T12" s="17" t="n">
        <v>594</v>
      </c>
      <c r="U12" s="17" t="n"/>
      <c r="V12" s="17" t="n"/>
      <c r="W12" s="18" t="n"/>
      <c r="X12" s="18" t="n"/>
      <c r="Y12" s="17" t="n">
        <v>594</v>
      </c>
      <c r="Z12" s="17" t="n">
        <v>594</v>
      </c>
      <c r="AA12" s="17" t="n">
        <v>594</v>
      </c>
      <c r="AB12" s="17" t="n">
        <v>594</v>
      </c>
      <c r="AC12" s="17" t="n">
        <v>594</v>
      </c>
      <c r="AD12" s="18" t="n">
        <v>594</v>
      </c>
      <c r="AE12" s="18" t="n">
        <v>594</v>
      </c>
      <c r="AF12" s="17" t="n">
        <v>594</v>
      </c>
      <c r="AG12" s="17" t="n">
        <v>594</v>
      </c>
      <c r="AH12" s="17" t="n">
        <v>594</v>
      </c>
      <c r="AI12" s="19">
        <f>SUM(E12:AH12)</f>
        <v/>
      </c>
    </row>
    <row r="13">
      <c r="A13" s="14" t="n">
        <v>6</v>
      </c>
      <c r="B13" s="15" t="inlineStr">
        <is>
          <t>Перевозка ЩПС 0/16 с накопителя км 1182 до дороги</t>
        </is>
      </c>
      <c r="C13" s="16" t="inlineStr">
        <is>
          <t>Перевозка материалов (м³)</t>
        </is>
      </c>
      <c r="D13" s="14" t="inlineStr">
        <is>
          <t>м³</t>
        </is>
      </c>
      <c r="E13" s="17" t="n"/>
      <c r="F13" s="17" t="n"/>
      <c r="G13" s="17" t="n"/>
      <c r="H13" s="17" t="n"/>
      <c r="I13" s="18" t="n"/>
      <c r="J13" s="18" t="n"/>
      <c r="K13" s="17" t="n"/>
      <c r="L13" s="17" t="n"/>
      <c r="M13" s="17" t="n"/>
      <c r="N13" s="17" t="n"/>
      <c r="O13" s="17" t="n"/>
      <c r="P13" s="18" t="n"/>
      <c r="Q13" s="18" t="n"/>
      <c r="R13" s="17" t="n"/>
      <c r="S13" s="17" t="n">
        <v>180</v>
      </c>
      <c r="T13" s="17" t="n"/>
      <c r="U13" s="17" t="n"/>
      <c r="V13" s="17" t="n"/>
      <c r="W13" s="18" t="n"/>
      <c r="X13" s="18" t="n"/>
      <c r="Y13" s="17" t="n"/>
      <c r="Z13" s="17" t="n"/>
      <c r="AA13" s="17" t="n"/>
      <c r="AB13" s="17" t="n"/>
      <c r="AC13" s="17" t="n"/>
      <c r="AD13" s="18" t="n"/>
      <c r="AE13" s="18" t="n"/>
      <c r="AF13" s="17" t="n"/>
      <c r="AG13" s="17" t="n"/>
      <c r="AH13" s="17" t="n"/>
      <c r="AI13" s="19">
        <f>SUM(E13:AH13)</f>
        <v/>
      </c>
    </row>
    <row r="14">
      <c r="A14" s="14" t="n">
        <v>7</v>
      </c>
      <c r="B14" s="15" t="inlineStr">
        <is>
          <t>Перевозка ЩПС 0/63 с накопителя км 1182 на дорогу</t>
        </is>
      </c>
      <c r="C14" s="16" t="inlineStr">
        <is>
          <t>Перевозка материалов (м³)</t>
        </is>
      </c>
      <c r="D14" s="14" t="inlineStr">
        <is>
          <t>м³</t>
        </is>
      </c>
      <c r="E14" s="17" t="n"/>
      <c r="F14" s="17" t="n"/>
      <c r="G14" s="17" t="n"/>
      <c r="H14" s="17" t="n"/>
      <c r="I14" s="18" t="n"/>
      <c r="J14" s="18" t="n"/>
      <c r="K14" s="17" t="n"/>
      <c r="L14" s="17" t="n"/>
      <c r="M14" s="17" t="n"/>
      <c r="N14" s="17" t="n"/>
      <c r="O14" s="17" t="n"/>
      <c r="P14" s="18" t="n"/>
      <c r="Q14" s="18" t="n"/>
      <c r="R14" s="17" t="n"/>
      <c r="S14" s="17" t="n">
        <v>144</v>
      </c>
      <c r="T14" s="17" t="n">
        <v>216</v>
      </c>
      <c r="U14" s="17" t="n"/>
      <c r="V14" s="17" t="n"/>
      <c r="W14" s="18" t="n"/>
      <c r="X14" s="18" t="n"/>
      <c r="Y14" s="17" t="n">
        <v>840</v>
      </c>
      <c r="Z14" s="17" t="n">
        <v>144</v>
      </c>
      <c r="AA14" s="17" t="n">
        <v>144</v>
      </c>
      <c r="AB14" s="17" t="n">
        <v>144</v>
      </c>
      <c r="AC14" s="17" t="n">
        <v>144</v>
      </c>
      <c r="AD14" s="18" t="n">
        <v>144</v>
      </c>
      <c r="AE14" s="18" t="n">
        <v>144</v>
      </c>
      <c r="AF14" s="17" t="n">
        <v>144</v>
      </c>
      <c r="AG14" s="17" t="n">
        <v>144</v>
      </c>
      <c r="AH14" s="17" t="n">
        <v>144</v>
      </c>
      <c r="AI14" s="19">
        <f>SUM(E14:AH14)</f>
        <v/>
      </c>
    </row>
    <row r="15">
      <c r="A15" s="14" t="n">
        <v>8</v>
      </c>
      <c r="B15" s="15" t="inlineStr">
        <is>
          <t>Перевозка щебня 31-63 с к. Лапчан до накопителя км 1182</t>
        </is>
      </c>
      <c r="C15" s="16" t="inlineStr">
        <is>
          <t>Перевозка материалов (м³)</t>
        </is>
      </c>
      <c r="D15" s="14" t="inlineStr">
        <is>
          <t>м³</t>
        </is>
      </c>
      <c r="E15" s="17" t="n"/>
      <c r="F15" s="17" t="n"/>
      <c r="G15" s="17" t="n"/>
      <c r="H15" s="17" t="n"/>
      <c r="I15" s="18" t="n"/>
      <c r="J15" s="18" t="n"/>
      <c r="K15" s="17" t="n"/>
      <c r="L15" s="17" t="n"/>
      <c r="M15" s="17" t="n"/>
      <c r="N15" s="17" t="n"/>
      <c r="O15" s="17" t="n"/>
      <c r="P15" s="18" t="n"/>
      <c r="Q15" s="18" t="n"/>
      <c r="R15" s="17" t="n"/>
      <c r="S15" s="17" t="n">
        <v>72</v>
      </c>
      <c r="T15" s="17" t="n">
        <v>72</v>
      </c>
      <c r="U15" s="17" t="n"/>
      <c r="V15" s="17" t="n"/>
      <c r="W15" s="18" t="n"/>
      <c r="X15" s="18" t="n"/>
      <c r="Y15" s="17" t="n">
        <v>72</v>
      </c>
      <c r="Z15" s="17" t="n">
        <v>72</v>
      </c>
      <c r="AA15" s="17" t="n">
        <v>72</v>
      </c>
      <c r="AB15" s="17" t="n">
        <v>72</v>
      </c>
      <c r="AC15" s="17" t="n">
        <v>72</v>
      </c>
      <c r="AD15" s="18" t="n">
        <v>72</v>
      </c>
      <c r="AE15" s="18" t="n">
        <v>72</v>
      </c>
      <c r="AF15" s="17" t="n">
        <v>72</v>
      </c>
      <c r="AG15" s="17" t="n">
        <v>72</v>
      </c>
      <c r="AH15" s="17" t="n">
        <v>72</v>
      </c>
      <c r="AI15" s="19">
        <f>SUM(E15:AH15)</f>
        <v/>
      </c>
    </row>
    <row r="16">
      <c r="A16" s="14" t="n">
        <v>9</v>
      </c>
      <c r="B16" s="15" t="inlineStr">
        <is>
          <t>Перевозка асфальтобетонной смеси с АБЗ до дороги</t>
        </is>
      </c>
      <c r="C16" s="16" t="inlineStr">
        <is>
          <t>Перевозка материалов (т)</t>
        </is>
      </c>
      <c r="D16" s="14" t="inlineStr">
        <is>
          <t>т</t>
        </is>
      </c>
      <c r="E16" s="17" t="n"/>
      <c r="F16" s="17" t="n"/>
      <c r="G16" s="17" t="n"/>
      <c r="H16" s="17" t="n"/>
      <c r="I16" s="18" t="n"/>
      <c r="J16" s="18" t="n"/>
      <c r="K16" s="17" t="n"/>
      <c r="L16" s="17" t="n"/>
      <c r="M16" s="17" t="n"/>
      <c r="N16" s="17" t="n"/>
      <c r="O16" s="17" t="n"/>
      <c r="P16" s="18" t="n"/>
      <c r="Q16" s="18" t="n"/>
      <c r="R16" s="17" t="n"/>
      <c r="S16" s="17" t="n">
        <v>756</v>
      </c>
      <c r="T16" s="17" t="n">
        <v>1092</v>
      </c>
      <c r="U16" s="17" t="n"/>
      <c r="V16" s="17" t="n"/>
      <c r="W16" s="18" t="n"/>
      <c r="X16" s="18" t="n"/>
      <c r="Y16" s="17" t="n">
        <v>1092</v>
      </c>
      <c r="Z16" s="17" t="n">
        <v>924</v>
      </c>
      <c r="AA16" s="17" t="n">
        <v>924</v>
      </c>
      <c r="AB16" s="17" t="n">
        <v>924</v>
      </c>
      <c r="AC16" s="17" t="n">
        <v>924</v>
      </c>
      <c r="AD16" s="18" t="n">
        <v>924</v>
      </c>
      <c r="AE16" s="18" t="n">
        <v>924</v>
      </c>
      <c r="AF16" s="17" t="n">
        <v>924</v>
      </c>
      <c r="AG16" s="17" t="n">
        <v>924</v>
      </c>
      <c r="AH16" s="17" t="n">
        <v>924</v>
      </c>
      <c r="AI16" s="19">
        <f>SUM(E16:AH16)</f>
        <v/>
      </c>
    </row>
    <row r="17">
      <c r="A17" s="14" t="n">
        <v>10</v>
      </c>
      <c r="B17" s="15" t="inlineStr">
        <is>
          <t>Перевозка фр. щебня фр. 0-4 с п. Светлый до АБЗ</t>
        </is>
      </c>
      <c r="C17" s="16" t="inlineStr">
        <is>
          <t>Перевозка материалов (м³)</t>
        </is>
      </c>
      <c r="D17" s="14" t="inlineStr">
        <is>
          <t>м³</t>
        </is>
      </c>
      <c r="E17" s="17" t="n"/>
      <c r="F17" s="17" t="n"/>
      <c r="G17" s="17" t="n"/>
      <c r="H17" s="17" t="n"/>
      <c r="I17" s="18" t="n"/>
      <c r="J17" s="18" t="n"/>
      <c r="K17" s="17" t="n"/>
      <c r="L17" s="17" t="n"/>
      <c r="M17" s="17" t="n"/>
      <c r="N17" s="17" t="n"/>
      <c r="O17" s="17" t="n"/>
      <c r="P17" s="18" t="n"/>
      <c r="Q17" s="18" t="n"/>
      <c r="R17" s="17" t="n"/>
      <c r="S17" s="17" t="n">
        <v>72</v>
      </c>
      <c r="T17" s="17" t="n">
        <v>72</v>
      </c>
      <c r="U17" s="17" t="n"/>
      <c r="V17" s="17" t="n"/>
      <c r="W17" s="18" t="n"/>
      <c r="X17" s="18" t="n"/>
      <c r="Y17" s="17" t="n">
        <v>72</v>
      </c>
      <c r="Z17" s="17" t="n">
        <v>72</v>
      </c>
      <c r="AA17" s="17" t="n">
        <v>72</v>
      </c>
      <c r="AB17" s="17" t="n">
        <v>72</v>
      </c>
      <c r="AC17" s="17" t="n">
        <v>72</v>
      </c>
      <c r="AD17" s="18" t="n">
        <v>72</v>
      </c>
      <c r="AE17" s="18" t="n">
        <v>72</v>
      </c>
      <c r="AF17" s="17" t="n">
        <v>72</v>
      </c>
      <c r="AG17" s="17" t="n">
        <v>72</v>
      </c>
      <c r="AH17" s="17" t="n">
        <v>72</v>
      </c>
      <c r="AI17" s="19">
        <f>SUM(E17:AH17)</f>
        <v/>
      </c>
    </row>
    <row r="18">
      <c r="A18" s="14" t="n">
        <v>11</v>
      </c>
      <c r="B18" s="15" t="inlineStr">
        <is>
          <t>Перевозка непригодного грунта с дороги на ПК78</t>
        </is>
      </c>
      <c r="C18" s="16" t="inlineStr">
        <is>
          <t>Перевозка материалов (м³)</t>
        </is>
      </c>
      <c r="D18" s="14" t="inlineStr">
        <is>
          <t>м³</t>
        </is>
      </c>
      <c r="E18" s="17" t="n"/>
      <c r="F18" s="17" t="n"/>
      <c r="G18" s="17" t="n"/>
      <c r="H18" s="17" t="n"/>
      <c r="I18" s="18" t="n"/>
      <c r="J18" s="18" t="n"/>
      <c r="K18" s="17" t="n"/>
      <c r="L18" s="17" t="n"/>
      <c r="M18" s="17" t="n"/>
      <c r="N18" s="17" t="n"/>
      <c r="O18" s="17" t="n"/>
      <c r="P18" s="18" t="n"/>
      <c r="Q18" s="18" t="n"/>
      <c r="R18" s="17" t="n"/>
      <c r="S18" s="17" t="n"/>
      <c r="T18" s="17" t="n"/>
      <c r="U18" s="17" t="n"/>
      <c r="V18" s="17" t="n"/>
      <c r="W18" s="18" t="n"/>
      <c r="X18" s="18" t="n"/>
      <c r="Y18" s="17" t="n">
        <v>1200</v>
      </c>
      <c r="Z18" s="17" t="n">
        <v>120</v>
      </c>
      <c r="AA18" s="17" t="n">
        <v>120</v>
      </c>
      <c r="AB18" s="17" t="n">
        <v>120</v>
      </c>
      <c r="AC18" s="17" t="n">
        <v>120</v>
      </c>
      <c r="AD18" s="18" t="n">
        <v>120</v>
      </c>
      <c r="AE18" s="18" t="n">
        <v>120</v>
      </c>
      <c r="AF18" s="17" t="n">
        <v>120</v>
      </c>
      <c r="AG18" s="17" t="n">
        <v>120</v>
      </c>
      <c r="AH18" s="17" t="n">
        <v>120</v>
      </c>
      <c r="AI18" s="19">
        <f>SUM(E18:AH18)</f>
        <v/>
      </c>
    </row>
    <row r="19">
      <c r="A19" s="14" t="n">
        <v>12</v>
      </c>
      <c r="B19" s="15" t="inlineStr">
        <is>
          <t>Перевозка ЩПС 0/16 с АБЗ в дорогу</t>
        </is>
      </c>
      <c r="C19" s="16" t="inlineStr">
        <is>
          <t>Перевозка материалов (м³)</t>
        </is>
      </c>
      <c r="D19" s="14" t="inlineStr">
        <is>
          <t>м³</t>
        </is>
      </c>
      <c r="E19" s="17" t="n"/>
      <c r="F19" s="17" t="n"/>
      <c r="G19" s="17" t="n"/>
      <c r="H19" s="17" t="n"/>
      <c r="I19" s="18" t="n"/>
      <c r="J19" s="18" t="n"/>
      <c r="K19" s="17" t="n"/>
      <c r="L19" s="17" t="n"/>
      <c r="M19" s="17" t="n"/>
      <c r="N19" s="17" t="n"/>
      <c r="O19" s="17" t="n"/>
      <c r="P19" s="18" t="n"/>
      <c r="Q19" s="18" t="n"/>
      <c r="R19" s="17" t="n"/>
      <c r="S19" s="17" t="n"/>
      <c r="T19" s="17" t="n"/>
      <c r="U19" s="17" t="n"/>
      <c r="V19" s="17" t="n"/>
      <c r="W19" s="18" t="n"/>
      <c r="X19" s="18" t="n"/>
      <c r="Y19" s="17" t="n"/>
      <c r="Z19" s="17" t="n">
        <v>192</v>
      </c>
      <c r="AA19" s="17" t="n">
        <v>192</v>
      </c>
      <c r="AB19" s="17" t="n">
        <v>192</v>
      </c>
      <c r="AC19" s="17" t="n">
        <v>192</v>
      </c>
      <c r="AD19" s="18" t="n">
        <v>192</v>
      </c>
      <c r="AE19" s="18" t="n">
        <v>192</v>
      </c>
      <c r="AF19" s="17" t="n">
        <v>192</v>
      </c>
      <c r="AG19" s="17" t="n">
        <v>192</v>
      </c>
      <c r="AH19" s="17" t="n">
        <v>192</v>
      </c>
      <c r="AI19" s="19">
        <f>SUM(E19:AH19)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20">
        <f>SUM(E20:AH20)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20">
        <f>SUM(E21:AH21)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20">
        <f>SUM(E22:AH22)</f>
        <v/>
      </c>
    </row>
  </sheetData>
  <dataValidations count="1">
    <dataValidation sqref="C8 C9 C10 C11 C12 C13 C14 C15 C16 C17 C18 C19 C20 C21 C22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8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12" customWidth="1" min="35" max="35"/>
  </cols>
  <sheetData>
    <row r="1">
      <c r="A1" s="6" t="inlineStr">
        <is>
          <t>План работ на сентябрь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Капремонт км 1180–1190 (ход работ по ГК)</t>
        </is>
      </c>
    </row>
    <row r="4">
      <c r="A4" s="7" t="inlineStr">
        <is>
          <t>Ответственный: Попов А. Г.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вт</t>
        </is>
      </c>
      <c r="F7" s="10" t="inlineStr">
        <is>
          <t>ср</t>
        </is>
      </c>
      <c r="G7" s="10" t="inlineStr">
        <is>
          <t>чт</t>
        </is>
      </c>
      <c r="H7" s="10" t="inlineStr">
        <is>
          <t>пт</t>
        </is>
      </c>
      <c r="I7" s="11" t="inlineStr">
        <is>
          <t>сб</t>
        </is>
      </c>
      <c r="J7" s="11" t="inlineStr">
        <is>
          <t>вс</t>
        </is>
      </c>
      <c r="K7" s="10" t="inlineStr">
        <is>
          <t>пн</t>
        </is>
      </c>
      <c r="L7" s="10" t="inlineStr">
        <is>
          <t>вт</t>
        </is>
      </c>
      <c r="M7" s="10" t="inlineStr">
        <is>
          <t>ср</t>
        </is>
      </c>
      <c r="N7" s="10" t="inlineStr">
        <is>
          <t>чт</t>
        </is>
      </c>
      <c r="O7" s="10" t="inlineStr">
        <is>
          <t>пт</t>
        </is>
      </c>
      <c r="P7" s="11" t="inlineStr">
        <is>
          <t>сб</t>
        </is>
      </c>
      <c r="Q7" s="11" t="inlineStr">
        <is>
          <t>вс</t>
        </is>
      </c>
      <c r="R7" s="10" t="inlineStr">
        <is>
          <t>пн</t>
        </is>
      </c>
      <c r="S7" s="10" t="inlineStr">
        <is>
          <t>вт</t>
        </is>
      </c>
      <c r="T7" s="10" t="inlineStr">
        <is>
          <t>ср</t>
        </is>
      </c>
      <c r="U7" s="10" t="inlineStr">
        <is>
          <t>чт</t>
        </is>
      </c>
      <c r="V7" s="10" t="inlineStr">
        <is>
          <t>пт</t>
        </is>
      </c>
      <c r="W7" s="11" t="inlineStr">
        <is>
          <t>сб</t>
        </is>
      </c>
      <c r="X7" s="11" t="inlineStr">
        <is>
          <t>вс</t>
        </is>
      </c>
      <c r="Y7" s="10" t="inlineStr">
        <is>
          <t>пн</t>
        </is>
      </c>
      <c r="Z7" s="10" t="inlineStr">
        <is>
          <t>вт</t>
        </is>
      </c>
      <c r="AA7" s="10" t="inlineStr">
        <is>
          <t>ср</t>
        </is>
      </c>
      <c r="AB7" s="10" t="inlineStr">
        <is>
          <t>чт</t>
        </is>
      </c>
      <c r="AC7" s="10" t="inlineStr">
        <is>
          <t>пт</t>
        </is>
      </c>
      <c r="AD7" s="11" t="inlineStr">
        <is>
          <t>сб</t>
        </is>
      </c>
      <c r="AE7" s="11" t="inlineStr">
        <is>
          <t>вс</t>
        </is>
      </c>
      <c r="AF7" s="10" t="inlineStr">
        <is>
          <t>пн</t>
        </is>
      </c>
      <c r="AG7" s="10" t="inlineStr">
        <is>
          <t>вт</t>
        </is>
      </c>
      <c r="AH7" s="10" t="inlineStr">
        <is>
          <t>ср</t>
        </is>
      </c>
      <c r="AI7" s="9" t="n"/>
    </row>
    <row r="8">
      <c r="A8" s="14" t="n">
        <v>1</v>
      </c>
      <c r="B8" s="15" t="inlineStr">
        <is>
          <t>Устройство земляного полотна</t>
        </is>
      </c>
      <c r="C8" s="16" t="inlineStr">
        <is>
          <t>Строительство</t>
        </is>
      </c>
      <c r="D8" s="14" t="inlineStr">
        <is>
          <t>м³</t>
        </is>
      </c>
      <c r="E8" s="17" t="n">
        <v>290</v>
      </c>
      <c r="F8" s="17" t="n">
        <v>290</v>
      </c>
      <c r="G8" s="17" t="n">
        <v>290</v>
      </c>
      <c r="H8" s="17" t="n">
        <v>290</v>
      </c>
      <c r="I8" s="18" t="n">
        <v>290</v>
      </c>
      <c r="J8" s="18" t="n">
        <v>290</v>
      </c>
      <c r="K8" s="17" t="n">
        <v>290</v>
      </c>
      <c r="L8" s="17" t="n">
        <v>290</v>
      </c>
      <c r="M8" s="17" t="n">
        <v>290</v>
      </c>
      <c r="N8" s="17" t="n">
        <v>290</v>
      </c>
      <c r="O8" s="17" t="n">
        <v>290</v>
      </c>
      <c r="P8" s="18" t="n">
        <v>290</v>
      </c>
      <c r="Q8" s="18" t="n"/>
      <c r="R8" s="17" t="n"/>
      <c r="S8" s="17" t="n"/>
      <c r="T8" s="17" t="n"/>
      <c r="U8" s="17" t="n"/>
      <c r="V8" s="17" t="n"/>
      <c r="W8" s="18" t="n"/>
      <c r="X8" s="18" t="n"/>
      <c r="Y8" s="17" t="n"/>
      <c r="Z8" s="17" t="n"/>
      <c r="AA8" s="17" t="n"/>
      <c r="AB8" s="17" t="n"/>
      <c r="AC8" s="17" t="n"/>
      <c r="AD8" s="18" t="n"/>
      <c r="AE8" s="18" t="n"/>
      <c r="AF8" s="17" t="n"/>
      <c r="AG8" s="17" t="n"/>
      <c r="AH8" s="17" t="n"/>
      <c r="AI8" s="19">
        <f>SUM(E8:AH8)</f>
        <v/>
      </c>
    </row>
    <row r="9">
      <c r="A9" s="14" t="n">
        <v>2</v>
      </c>
      <c r="B9" s="15" t="inlineStr">
        <is>
          <t>Устройство основания из ЩПС 0/63, слой 1 (20 см)</t>
        </is>
      </c>
      <c r="C9" s="16" t="inlineStr">
        <is>
          <t>Строительство</t>
        </is>
      </c>
      <c r="D9" s="14" t="inlineStr">
        <is>
          <t>м³</t>
        </is>
      </c>
      <c r="E9" s="17" t="n">
        <v>180</v>
      </c>
      <c r="F9" s="17" t="n">
        <v>180</v>
      </c>
      <c r="G9" s="17" t="n">
        <v>180</v>
      </c>
      <c r="H9" s="17" t="n">
        <v>180</v>
      </c>
      <c r="I9" s="18" t="n">
        <v>180</v>
      </c>
      <c r="J9" s="18" t="n">
        <v>180</v>
      </c>
      <c r="K9" s="17" t="n">
        <v>180</v>
      </c>
      <c r="L9" s="17" t="n">
        <v>180</v>
      </c>
      <c r="M9" s="17" t="n">
        <v>180</v>
      </c>
      <c r="N9" s="17" t="n">
        <v>180</v>
      </c>
      <c r="O9" s="17" t="n">
        <v>180</v>
      </c>
      <c r="P9" s="18" t="n">
        <v>180</v>
      </c>
      <c r="Q9" s="18" t="n">
        <v>180</v>
      </c>
      <c r="R9" s="17" t="n">
        <v>180</v>
      </c>
      <c r="S9" s="17" t="n">
        <v>180</v>
      </c>
      <c r="T9" s="17" t="n">
        <v>180</v>
      </c>
      <c r="U9" s="17" t="n">
        <v>180</v>
      </c>
      <c r="V9" s="17" t="n">
        <v>180</v>
      </c>
      <c r="W9" s="18" t="n">
        <v>180</v>
      </c>
      <c r="X9" s="18" t="n">
        <v>180</v>
      </c>
      <c r="Y9" s="17" t="n">
        <v>180</v>
      </c>
      <c r="Z9" s="17" t="n">
        <v>180</v>
      </c>
      <c r="AA9" s="17" t="n">
        <v>180</v>
      </c>
      <c r="AB9" s="17" t="n">
        <v>180</v>
      </c>
      <c r="AC9" s="17" t="n">
        <v>180</v>
      </c>
      <c r="AD9" s="18" t="n">
        <v>180</v>
      </c>
      <c r="AE9" s="18" t="n">
        <v>180</v>
      </c>
      <c r="AF9" s="17" t="n">
        <v>180</v>
      </c>
      <c r="AG9" s="17" t="n">
        <v>180</v>
      </c>
      <c r="AH9" s="17" t="n">
        <v>180</v>
      </c>
      <c r="AI9" s="19">
        <f>SUM(E9:AH9)</f>
        <v/>
      </c>
    </row>
    <row r="10">
      <c r="A10" s="14" t="n">
        <v>3</v>
      </c>
      <c r="B10" s="15" t="inlineStr">
        <is>
          <t>Устройство основания из ЩПС 0/63, слой 2 (13 см)</t>
        </is>
      </c>
      <c r="C10" s="16" t="inlineStr">
        <is>
          <t>Строительство</t>
        </is>
      </c>
      <c r="D10" s="14" t="inlineStr">
        <is>
          <t>м³</t>
        </is>
      </c>
      <c r="E10" s="17" t="n"/>
      <c r="F10" s="17" t="n"/>
      <c r="G10" s="17" t="n"/>
      <c r="H10" s="17" t="n"/>
      <c r="I10" s="18" t="n"/>
      <c r="J10" s="18" t="n"/>
      <c r="K10" s="17" t="n">
        <v>175</v>
      </c>
      <c r="L10" s="17" t="n">
        <v>175</v>
      </c>
      <c r="M10" s="17" t="n">
        <v>175</v>
      </c>
      <c r="N10" s="17" t="n">
        <v>175</v>
      </c>
      <c r="O10" s="17" t="n">
        <v>175</v>
      </c>
      <c r="P10" s="18" t="n">
        <v>175</v>
      </c>
      <c r="Q10" s="18" t="n">
        <v>175</v>
      </c>
      <c r="R10" s="17" t="n">
        <v>175</v>
      </c>
      <c r="S10" s="17" t="n">
        <v>175</v>
      </c>
      <c r="T10" s="17" t="n">
        <v>175</v>
      </c>
      <c r="U10" s="17" t="n">
        <v>175</v>
      </c>
      <c r="V10" s="17" t="n">
        <v>175</v>
      </c>
      <c r="W10" s="18" t="n">
        <v>175</v>
      </c>
      <c r="X10" s="18" t="n">
        <v>175</v>
      </c>
      <c r="Y10" s="17" t="n">
        <v>175</v>
      </c>
      <c r="Z10" s="17" t="n">
        <v>175</v>
      </c>
      <c r="AA10" s="17" t="n">
        <v>175</v>
      </c>
      <c r="AB10" s="17" t="n">
        <v>175</v>
      </c>
      <c r="AC10" s="17" t="n">
        <v>175</v>
      </c>
      <c r="AD10" s="18" t="n">
        <v>175</v>
      </c>
      <c r="AE10" s="18" t="n">
        <v>175</v>
      </c>
      <c r="AF10" s="17" t="n">
        <v>175</v>
      </c>
      <c r="AG10" s="17" t="n">
        <v>175</v>
      </c>
      <c r="AH10" s="17" t="n">
        <v>175</v>
      </c>
      <c r="AI10" s="19">
        <f>SUM(E10:AH10)</f>
        <v/>
      </c>
    </row>
    <row r="11">
      <c r="A11" s="14" t="n">
        <v>4</v>
      </c>
      <c r="B11" s="15" t="inlineStr">
        <is>
          <t>Устройство нижнего слоя покрытия</t>
        </is>
      </c>
      <c r="C11" s="16" t="inlineStr">
        <is>
          <t>Асфальтирование</t>
        </is>
      </c>
      <c r="D11" s="14" t="inlineStr">
        <is>
          <t>м²</t>
        </is>
      </c>
      <c r="E11" s="17" t="n"/>
      <c r="F11" s="17" t="n"/>
      <c r="G11" s="17" t="n"/>
      <c r="H11" s="17" t="n"/>
      <c r="I11" s="18" t="n"/>
      <c r="J11" s="18" t="n"/>
      <c r="K11" s="17" t="n"/>
      <c r="L11" s="17" t="n"/>
      <c r="M11" s="17" t="n"/>
      <c r="N11" s="17" t="n"/>
      <c r="O11" s="17" t="n"/>
      <c r="P11" s="18" t="n">
        <v>3000</v>
      </c>
      <c r="Q11" s="18" t="n">
        <v>3000</v>
      </c>
      <c r="R11" s="17" t="n">
        <v>3000</v>
      </c>
      <c r="S11" s="17" t="n">
        <v>3000</v>
      </c>
      <c r="T11" s="17" t="n">
        <v>3000</v>
      </c>
      <c r="U11" s="17" t="n">
        <v>3000</v>
      </c>
      <c r="V11" s="17" t="n">
        <v>3000</v>
      </c>
      <c r="W11" s="18" t="n">
        <v>3000</v>
      </c>
      <c r="X11" s="18" t="n">
        <v>3000</v>
      </c>
      <c r="Y11" s="17" t="n">
        <v>3000</v>
      </c>
      <c r="Z11" s="17" t="n">
        <v>3000</v>
      </c>
      <c r="AA11" s="17" t="n">
        <v>3000</v>
      </c>
      <c r="AB11" s="17" t="n">
        <v>3000</v>
      </c>
      <c r="AC11" s="17" t="n">
        <v>3000</v>
      </c>
      <c r="AD11" s="18" t="n">
        <v>3000</v>
      </c>
      <c r="AE11" s="18" t="n">
        <v>3000</v>
      </c>
      <c r="AF11" s="17" t="n">
        <v>3000</v>
      </c>
      <c r="AG11" s="17" t="n">
        <v>3000</v>
      </c>
      <c r="AH11" s="17" t="n">
        <v>3000</v>
      </c>
      <c r="AI11" s="19">
        <f>SUM(E11:AH11)</f>
        <v/>
      </c>
    </row>
    <row r="12">
      <c r="A12" s="14" t="n">
        <v>5</v>
      </c>
      <c r="B12" s="15" t="inlineStr">
        <is>
          <t>Устройство верхнего слоя покрытия</t>
        </is>
      </c>
      <c r="C12" s="16" t="inlineStr">
        <is>
          <t>Асфальтирование</t>
        </is>
      </c>
      <c r="D12" s="14" t="inlineStr">
        <is>
          <t>м²</t>
        </is>
      </c>
      <c r="E12" s="17" t="n"/>
      <c r="F12" s="17" t="n"/>
      <c r="G12" s="17" t="n"/>
      <c r="H12" s="17" t="n"/>
      <c r="I12" s="18" t="n"/>
      <c r="J12" s="18" t="n"/>
      <c r="K12" s="17" t="n"/>
      <c r="L12" s="17" t="n"/>
      <c r="M12" s="17" t="n"/>
      <c r="N12" s="17" t="n"/>
      <c r="O12" s="17" t="n"/>
      <c r="P12" s="18" t="n"/>
      <c r="Q12" s="18" t="n"/>
      <c r="R12" s="17" t="n"/>
      <c r="S12" s="17" t="n"/>
      <c r="T12" s="17" t="n"/>
      <c r="U12" s="17" t="n"/>
      <c r="V12" s="17" t="n"/>
      <c r="W12" s="18" t="n"/>
      <c r="X12" s="18" t="n"/>
      <c r="Y12" s="17" t="n">
        <v>4800</v>
      </c>
      <c r="Z12" s="17" t="n">
        <v>4800</v>
      </c>
      <c r="AA12" s="17" t="n">
        <v>4800</v>
      </c>
      <c r="AB12" s="17" t="n">
        <v>4800</v>
      </c>
      <c r="AC12" s="17" t="n">
        <v>4800</v>
      </c>
      <c r="AD12" s="18" t="n">
        <v>4800</v>
      </c>
      <c r="AE12" s="18" t="n">
        <v>4800</v>
      </c>
      <c r="AF12" s="17" t="n">
        <v>4800</v>
      </c>
      <c r="AG12" s="17" t="n">
        <v>4800</v>
      </c>
      <c r="AH12" s="17" t="n">
        <v>4800</v>
      </c>
      <c r="AI12" s="19">
        <f>SUM(E12:AH12)</f>
        <v/>
      </c>
    </row>
    <row r="13">
      <c r="A13" s="14" t="n">
        <v>6</v>
      </c>
      <c r="B13" s="15" t="inlineStr">
        <is>
          <t>Устройство присыпных обочин (20 см)</t>
        </is>
      </c>
      <c r="C13" s="16" t="inlineStr">
        <is>
          <t>Строительство</t>
        </is>
      </c>
      <c r="D13" s="14" t="inlineStr">
        <is>
          <t>м³</t>
        </is>
      </c>
      <c r="E13" s="17" t="n"/>
      <c r="F13" s="17" t="n"/>
      <c r="G13" s="17" t="n"/>
      <c r="H13" s="17" t="n"/>
      <c r="I13" s="18" t="n"/>
      <c r="J13" s="18" t="n"/>
      <c r="K13" s="17" t="n"/>
      <c r="L13" s="17" t="n"/>
      <c r="M13" s="17" t="n"/>
      <c r="N13" s="17" t="n"/>
      <c r="O13" s="17" t="n"/>
      <c r="P13" s="18" t="n"/>
      <c r="Q13" s="18" t="n"/>
      <c r="R13" s="17" t="n"/>
      <c r="S13" s="17" t="n"/>
      <c r="T13" s="17" t="n">
        <v>65</v>
      </c>
      <c r="U13" s="17" t="n">
        <v>65</v>
      </c>
      <c r="V13" s="17" t="n">
        <v>65</v>
      </c>
      <c r="W13" s="18" t="n">
        <v>65</v>
      </c>
      <c r="X13" s="18" t="n">
        <v>65</v>
      </c>
      <c r="Y13" s="17" t="n">
        <v>65</v>
      </c>
      <c r="Z13" s="17" t="n">
        <v>65</v>
      </c>
      <c r="AA13" s="17" t="n">
        <v>65</v>
      </c>
      <c r="AB13" s="17" t="n">
        <v>65</v>
      </c>
      <c r="AC13" s="17" t="n">
        <v>65</v>
      </c>
      <c r="AD13" s="18" t="n">
        <v>65</v>
      </c>
      <c r="AE13" s="18" t="n">
        <v>65</v>
      </c>
      <c r="AF13" s="17" t="n">
        <v>65</v>
      </c>
      <c r="AG13" s="17" t="n">
        <v>65</v>
      </c>
      <c r="AH13" s="17" t="n">
        <v>65</v>
      </c>
      <c r="AI13" s="19">
        <f>SUM(E13:AH13)</f>
        <v/>
      </c>
    </row>
    <row r="14">
      <c r="A14" s="14" t="n">
        <v>7</v>
      </c>
      <c r="B14" s="15" t="inlineStr">
        <is>
          <t>Устройство присыпных обочин (13 см), позиция 1</t>
        </is>
      </c>
      <c r="C14" s="16" t="inlineStr">
        <is>
          <t>Строительство</t>
        </is>
      </c>
      <c r="D14" s="14" t="inlineStr">
        <is>
          <t>м³</t>
        </is>
      </c>
      <c r="E14" s="17" t="n"/>
      <c r="F14" s="17" t="n"/>
      <c r="G14" s="17" t="n"/>
      <c r="H14" s="17" t="n"/>
      <c r="I14" s="18" t="n"/>
      <c r="J14" s="18" t="n"/>
      <c r="K14" s="17" t="n">
        <v>30</v>
      </c>
      <c r="L14" s="17" t="n">
        <v>30</v>
      </c>
      <c r="M14" s="17" t="n">
        <v>30</v>
      </c>
      <c r="N14" s="17" t="n">
        <v>30</v>
      </c>
      <c r="O14" s="17" t="n">
        <v>30</v>
      </c>
      <c r="P14" s="18" t="n">
        <v>30</v>
      </c>
      <c r="Q14" s="18" t="n">
        <v>30</v>
      </c>
      <c r="R14" s="17" t="n">
        <v>30</v>
      </c>
      <c r="S14" s="17" t="n">
        <v>30</v>
      </c>
      <c r="T14" s="17" t="n">
        <v>30</v>
      </c>
      <c r="U14" s="17" t="n">
        <v>30</v>
      </c>
      <c r="V14" s="17" t="n">
        <v>30</v>
      </c>
      <c r="W14" s="18" t="n">
        <v>30</v>
      </c>
      <c r="X14" s="18" t="n">
        <v>30</v>
      </c>
      <c r="Y14" s="17" t="n">
        <v>30</v>
      </c>
      <c r="Z14" s="17" t="n">
        <v>30</v>
      </c>
      <c r="AA14" s="17" t="n">
        <v>30</v>
      </c>
      <c r="AB14" s="17" t="n">
        <v>30</v>
      </c>
      <c r="AC14" s="17" t="n">
        <v>30</v>
      </c>
      <c r="AD14" s="18" t="n">
        <v>30</v>
      </c>
      <c r="AE14" s="18" t="n">
        <v>30</v>
      </c>
      <c r="AF14" s="17" t="n">
        <v>30</v>
      </c>
      <c r="AG14" s="17" t="n">
        <v>30</v>
      </c>
      <c r="AH14" s="17" t="n">
        <v>30</v>
      </c>
      <c r="AI14" s="19">
        <f>SUM(E14:AH14)</f>
        <v/>
      </c>
    </row>
    <row r="15">
      <c r="A15" s="14" t="n">
        <v>8</v>
      </c>
      <c r="B15" s="15" t="inlineStr">
        <is>
          <t>Планировка откосов земляного полотна</t>
        </is>
      </c>
      <c r="C15" s="16" t="inlineStr">
        <is>
          <t>Не учитывать</t>
        </is>
      </c>
      <c r="D15" s="14" t="inlineStr">
        <is>
          <t>м²</t>
        </is>
      </c>
      <c r="E15" s="17" t="n"/>
      <c r="F15" s="17" t="n"/>
      <c r="G15" s="17" t="n"/>
      <c r="H15" s="17" t="n"/>
      <c r="I15" s="18" t="n"/>
      <c r="J15" s="18" t="n"/>
      <c r="K15" s="17" t="n"/>
      <c r="L15" s="17" t="n">
        <v>820</v>
      </c>
      <c r="M15" s="17" t="n">
        <v>820</v>
      </c>
      <c r="N15" s="17" t="n">
        <v>820</v>
      </c>
      <c r="O15" s="17" t="n">
        <v>820</v>
      </c>
      <c r="P15" s="18" t="n">
        <v>820</v>
      </c>
      <c r="Q15" s="18" t="n">
        <v>820</v>
      </c>
      <c r="R15" s="17" t="n">
        <v>820</v>
      </c>
      <c r="S15" s="17" t="n">
        <v>820</v>
      </c>
      <c r="T15" s="17" t="n">
        <v>820</v>
      </c>
      <c r="U15" s="17" t="n">
        <v>820</v>
      </c>
      <c r="V15" s="17" t="n">
        <v>820</v>
      </c>
      <c r="W15" s="18" t="n">
        <v>820</v>
      </c>
      <c r="X15" s="18" t="n">
        <v>820</v>
      </c>
      <c r="Y15" s="17" t="n">
        <v>820</v>
      </c>
      <c r="Z15" s="17" t="n">
        <v>820</v>
      </c>
      <c r="AA15" s="17" t="n">
        <v>820</v>
      </c>
      <c r="AB15" s="17" t="n">
        <v>820</v>
      </c>
      <c r="AC15" s="17" t="n">
        <v>820</v>
      </c>
      <c r="AD15" s="18" t="n">
        <v>820</v>
      </c>
      <c r="AE15" s="18" t="n">
        <v>820</v>
      </c>
      <c r="AF15" s="17" t="n">
        <v>820</v>
      </c>
      <c r="AG15" s="17" t="n">
        <v>820</v>
      </c>
      <c r="AH15" s="17" t="n">
        <v>820</v>
      </c>
      <c r="AI15" s="19">
        <f>SUM(E15:AH15)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20">
        <f>SUM(E16:AH16)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20">
        <f>SUM(E17:AH17)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20">
        <f>SUM(E18:AH18)</f>
        <v/>
      </c>
    </row>
  </sheetData>
  <dataValidations count="1">
    <dataValidation sqref="C8 C9 C10 C11 C12 C13 C14 C15 C16 C17 C18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1" t="inlineStr">
        <is>
          <t>Вид работ (Классификация)</t>
        </is>
      </c>
      <c r="B1" s="21" t="inlineStr">
        <is>
          <t>Ед. изм. в отчёте</t>
        </is>
      </c>
    </row>
    <row r="2">
      <c r="A2" t="inlineStr">
        <is>
          <t>Строительство</t>
        </is>
      </c>
      <c r="B2" t="inlineStr">
        <is>
          <t>м³</t>
        </is>
      </c>
    </row>
    <row r="3">
      <c r="A3" t="inlineStr">
        <is>
          <t>Ремонт</t>
        </is>
      </c>
      <c r="B3" t="inlineStr">
        <is>
          <t>м³</t>
        </is>
      </c>
    </row>
    <row r="4">
      <c r="A4" t="inlineStr">
        <is>
          <t>Содержание</t>
        </is>
      </c>
      <c r="B4" t="inlineStr">
        <is>
          <t>км</t>
        </is>
      </c>
    </row>
    <row r="5">
      <c r="A5" t="inlineStr">
        <is>
          <t>Асфальтирование</t>
        </is>
      </c>
      <c r="B5" t="inlineStr">
        <is>
          <t>м²</t>
        </is>
      </c>
    </row>
    <row r="6">
      <c r="A6" t="inlineStr">
        <is>
          <t>Транспортные услуги</t>
        </is>
      </c>
      <c r="B6" t="inlineStr">
        <is>
          <t>маш.-ч</t>
        </is>
      </c>
    </row>
    <row r="7">
      <c r="A7" t="inlineStr">
        <is>
          <t>Дробление</t>
        </is>
      </c>
      <c r="B7" t="inlineStr">
        <is>
          <t>м³</t>
        </is>
      </c>
    </row>
    <row r="8">
      <c r="A8" t="inlineStr">
        <is>
          <t>Перевозка материалов (т)</t>
        </is>
      </c>
      <c r="B8" t="inlineStr">
        <is>
          <t>т</t>
        </is>
      </c>
    </row>
    <row r="9">
      <c r="A9" t="inlineStr">
        <is>
          <t>Перевозка материалов (м³)</t>
        </is>
      </c>
      <c r="B9" t="inlineStr">
        <is>
          <t>м³</t>
        </is>
      </c>
    </row>
    <row r="10">
      <c r="A10" t="inlineStr">
        <is>
          <t>Асфальтобетон (т)</t>
        </is>
      </c>
      <c r="B10" t="inlineStr">
        <is>
          <t>т</t>
        </is>
      </c>
    </row>
    <row r="11">
      <c r="A11" t="inlineStr">
        <is>
          <t>Не учитывать</t>
        </is>
      </c>
      <c r="B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2026-09-23T08:01:51Z</dcterms:created>
  <dcterms:modified xsi:type="dcterms:W3CDTF">2026-09-23T08:01:52Z</dcterms:modified>
</cp:coreProperties>
</file>